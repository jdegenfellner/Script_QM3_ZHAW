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ergen/Library/Mobile Documents/com~apple~CloudDocs/1_ZHAW/1_Quantitative_Methoden_3/Script_QM3_ZHAW/data/Chapter_Rel_Val/2_bioxar/"/>
    </mc:Choice>
  </mc:AlternateContent>
  <xr:revisionPtr revIDLastSave="0" documentId="13_ncr:1_{6BBC9423-D90A-E848-9B99-9F4ACA4401E3}" xr6:coauthVersionLast="47" xr6:coauthVersionMax="47" xr10:uidLastSave="{00000000-0000-0000-0000-000000000000}"/>
  <bookViews>
    <workbookView xWindow="0" yWindow="500" windowWidth="51200" windowHeight="19540" xr2:uid="{88F933B5-8CA4-49EF-BA7B-2E91E6E89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19" i="1" l="1"/>
  <c r="BX19" i="1"/>
  <c r="BY18" i="1"/>
  <c r="BX18" i="1"/>
  <c r="BY17" i="1"/>
  <c r="BX17" i="1"/>
  <c r="BY16" i="1"/>
  <c r="BX16" i="1"/>
  <c r="BY15" i="1"/>
  <c r="BX15" i="1"/>
  <c r="BY14" i="1"/>
  <c r="BX14" i="1"/>
  <c r="BY13" i="1"/>
  <c r="BX13" i="1"/>
  <c r="BY12" i="1"/>
  <c r="BX12" i="1"/>
  <c r="BY11" i="1"/>
  <c r="BX11" i="1"/>
  <c r="BY10" i="1"/>
  <c r="BX10" i="1"/>
  <c r="BY9" i="1"/>
  <c r="BX9" i="1"/>
  <c r="BY8" i="1"/>
  <c r="BX8" i="1"/>
  <c r="BY7" i="1"/>
  <c r="BX7" i="1"/>
  <c r="BY6" i="1"/>
  <c r="BX6" i="1"/>
  <c r="BY5" i="1"/>
  <c r="BX5" i="1"/>
  <c r="BY4" i="1"/>
  <c r="BX4" i="1"/>
  <c r="BY3" i="1"/>
  <c r="BX3" i="1"/>
</calcChain>
</file>

<file path=xl/sharedStrings.xml><?xml version="1.0" encoding="utf-8"?>
<sst xmlns="http://schemas.openxmlformats.org/spreadsheetml/2006/main" count="64" uniqueCount="52">
  <si>
    <t>CMJ</t>
  </si>
  <si>
    <t>SJ</t>
  </si>
  <si>
    <t>DJ</t>
  </si>
  <si>
    <t>Displacement (mm)</t>
  </si>
  <si>
    <t>Passive displacement (mm)</t>
  </si>
  <si>
    <t>Corr displacement (mm)</t>
  </si>
  <si>
    <t>Strain (%)</t>
  </si>
  <si>
    <t>AT force (N)</t>
  </si>
  <si>
    <t>Norm ATk 50-100 2</t>
  </si>
  <si>
    <t>Avg RFD (N/s)</t>
  </si>
  <si>
    <t>RSImod</t>
  </si>
  <si>
    <t>Flight time (s)</t>
  </si>
  <si>
    <t>Peak power (W)</t>
  </si>
  <si>
    <t>RSI</t>
  </si>
  <si>
    <t>Concentric RPD (W/s)</t>
  </si>
  <si>
    <t>Positive impulse (N.s)</t>
  </si>
  <si>
    <t>Countermovement depth (m)</t>
  </si>
  <si>
    <t>Participant</t>
  </si>
  <si>
    <t>Plantar flexion moment (N.m)</t>
  </si>
  <si>
    <t>AtK all (N/mm)</t>
  </si>
  <si>
    <t>ATk low (N/mm)</t>
  </si>
  <si>
    <t>ATk high (N/mm)</t>
  </si>
  <si>
    <t>NATk all (N/strain)</t>
  </si>
  <si>
    <t>NATk low (N/strain)</t>
  </si>
  <si>
    <t>NATk high (N/strain)</t>
  </si>
  <si>
    <t>ATk index (N/strain)</t>
  </si>
  <si>
    <t>AT moment arm (mm)</t>
  </si>
  <si>
    <t>Max ankle rotation (degrees)</t>
  </si>
  <si>
    <t>Vertical stiffness (N/m)</t>
  </si>
  <si>
    <t>Take-off velocity (m/s)</t>
  </si>
  <si>
    <t>Jump height from take-off velocity (m)</t>
  </si>
  <si>
    <t>Peak force (N)</t>
  </si>
  <si>
    <t>Peak Force (N)</t>
  </si>
  <si>
    <t>RPD (W/s)</t>
  </si>
  <si>
    <t>RFD 0-50 (N/s)</t>
  </si>
  <si>
    <t>RFD 0-100 (N/s)</t>
  </si>
  <si>
    <t>RFD 0-250 (N/s)</t>
  </si>
  <si>
    <t>Eccentric utilisation ratio</t>
  </si>
  <si>
    <t>Jump height from flight time (m)</t>
  </si>
  <si>
    <t>Jump height flight time (m)</t>
  </si>
  <si>
    <t>Ground contact time (s)</t>
  </si>
  <si>
    <t>Force at 50ms (N)</t>
  </si>
  <si>
    <t>Force at 100ms (N)</t>
  </si>
  <si>
    <t>Force 250ms (N)</t>
  </si>
  <si>
    <t>Impulse 50ms (N.s)</t>
  </si>
  <si>
    <t>Impulse 100ms (N.s)</t>
  </si>
  <si>
    <t>Impulse 250ms (N.s)</t>
  </si>
  <si>
    <t>Dynamic strength index</t>
  </si>
  <si>
    <t>Knee extension</t>
  </si>
  <si>
    <t>Mechanical properties of the muscle-tendon unit</t>
  </si>
  <si>
    <t>Knee extension moment</t>
  </si>
  <si>
    <t>IMTP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</si>
</sst>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164" fontId="1" fillId="0" borderId="6" xfId="0" applyNumberFormat="1" applyFont="1" applyBorder="1"/>
    <xf numFmtId="2" fontId="1" fillId="0" borderId="6" xfId="0" applyNumberFormat="1" applyFont="1" applyBorder="1"/>
    <xf numFmtId="2" fontId="1" fillId="0" borderId="0" xfId="0" applyNumberFormat="1" applyFont="1"/>
    <xf numFmtId="165" fontId="1" fillId="0" borderId="6" xfId="0" applyNumberFormat="1" applyFont="1" applyBorder="1"/>
    <xf numFmtId="165" fontId="1" fillId="0" borderId="0" xfId="0" applyNumberFormat="1" applyFont="1"/>
    <xf numFmtId="164" fontId="1" fillId="0" borderId="0" xfId="0" applyNumberFormat="1" applyFont="1"/>
    <xf numFmtId="164" fontId="1" fillId="0" borderId="3" xfId="0" applyNumberFormat="1" applyFont="1" applyBorder="1"/>
    <xf numFmtId="165" fontId="1" fillId="0" borderId="3" xfId="0" applyNumberFormat="1" applyFont="1" applyBorder="1"/>
    <xf numFmtId="165" fontId="1" fillId="0" borderId="9" xfId="0" applyNumberFormat="1" applyFont="1" applyBorder="1"/>
    <xf numFmtId="166" fontId="1" fillId="0" borderId="0" xfId="0" applyNumberFormat="1" applyFont="1"/>
    <xf numFmtId="2" fontId="1" fillId="0" borderId="3" xfId="0" applyNumberFormat="1" applyFont="1" applyBorder="1"/>
    <xf numFmtId="0" fontId="1" fillId="3" borderId="2" xfId="0" applyFont="1" applyFill="1" applyBorder="1" applyAlignment="1">
      <alignment horizontal="left"/>
    </xf>
    <xf numFmtId="165" fontId="1" fillId="0" borderId="8" xfId="0" applyNumberFormat="1" applyFont="1" applyBorder="1"/>
    <xf numFmtId="2" fontId="1" fillId="0" borderId="10" xfId="0" applyNumberFormat="1" applyFont="1" applyBorder="1"/>
    <xf numFmtId="2" fontId="1" fillId="0" borderId="7" xfId="0" applyNumberFormat="1" applyFont="1" applyBorder="1"/>
    <xf numFmtId="2" fontId="1" fillId="5" borderId="0" xfId="0" applyNumberFormat="1" applyFont="1" applyFill="1"/>
    <xf numFmtId="2" fontId="1" fillId="5" borderId="6" xfId="0" applyNumberFormat="1" applyFont="1" applyFill="1" applyBorder="1"/>
    <xf numFmtId="166" fontId="1" fillId="5" borderId="0" xfId="0" applyNumberFormat="1" applyFont="1" applyFill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0" borderId="0" xfId="0" applyFont="1"/>
    <xf numFmtId="167" fontId="1" fillId="0" borderId="0" xfId="0" applyNumberFormat="1" applyFont="1"/>
    <xf numFmtId="2" fontId="1" fillId="0" borderId="8" xfId="0" applyNumberFormat="1" applyFont="1" applyBorder="1"/>
    <xf numFmtId="166" fontId="1" fillId="0" borderId="8" xfId="0" applyNumberFormat="1" applyFont="1" applyBorder="1"/>
    <xf numFmtId="166" fontId="1" fillId="0" borderId="3" xfId="0" applyNumberFormat="1" applyFont="1" applyBorder="1"/>
    <xf numFmtId="165" fontId="1" fillId="0" borderId="12" xfId="0" applyNumberFormat="1" applyFont="1" applyBorder="1"/>
    <xf numFmtId="165" fontId="1" fillId="0" borderId="13" xfId="0" applyNumberFormat="1" applyFont="1" applyBorder="1"/>
    <xf numFmtId="2" fontId="1" fillId="0" borderId="12" xfId="0" applyNumberFormat="1" applyFont="1" applyBorder="1"/>
    <xf numFmtId="2" fontId="1" fillId="0" borderId="13" xfId="0" applyNumberFormat="1" applyFont="1" applyBorder="1"/>
    <xf numFmtId="0" fontId="1" fillId="2" borderId="4" xfId="0" applyFont="1" applyFill="1" applyBorder="1" applyAlignment="1">
      <alignment horizontal="left"/>
    </xf>
    <xf numFmtId="2" fontId="1" fillId="5" borderId="3" xfId="0" applyNumberFormat="1" applyFont="1" applyFill="1" applyBorder="1"/>
    <xf numFmtId="166" fontId="1" fillId="0" borderId="12" xfId="0" applyNumberFormat="1" applyFont="1" applyBorder="1"/>
    <xf numFmtId="166" fontId="1" fillId="0" borderId="13" xfId="0" applyNumberFormat="1" applyFont="1" applyBorder="1"/>
    <xf numFmtId="166" fontId="1" fillId="5" borderId="13" xfId="0" applyNumberFormat="1" applyFont="1" applyFill="1" applyBorder="1"/>
    <xf numFmtId="0" fontId="1" fillId="3" borderId="14" xfId="0" applyFont="1" applyFill="1" applyBorder="1" applyAlignment="1">
      <alignment horizontal="left"/>
    </xf>
    <xf numFmtId="2" fontId="1" fillId="5" borderId="13" xfId="0" applyNumberFormat="1" applyFont="1" applyFill="1" applyBorder="1"/>
    <xf numFmtId="0" fontId="1" fillId="2" borderId="14" xfId="0" applyFont="1" applyFill="1" applyBorder="1" applyAlignment="1">
      <alignment horizontal="left"/>
    </xf>
    <xf numFmtId="0" fontId="1" fillId="4" borderId="14" xfId="0" applyFont="1" applyFill="1" applyBorder="1" applyAlignment="1">
      <alignment horizontal="left"/>
    </xf>
    <xf numFmtId="0" fontId="1" fillId="0" borderId="13" xfId="0" applyFont="1" applyBorder="1"/>
    <xf numFmtId="1" fontId="1" fillId="0" borderId="13" xfId="0" applyNumberFormat="1" applyFont="1" applyBorder="1"/>
    <xf numFmtId="0" fontId="1" fillId="4" borderId="11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165" fontId="1" fillId="5" borderId="15" xfId="0" applyNumberFormat="1" applyFont="1" applyFill="1" applyBorder="1"/>
    <xf numFmtId="165" fontId="1" fillId="5" borderId="16" xfId="0" applyNumberFormat="1" applyFont="1" applyFill="1" applyBorder="1"/>
    <xf numFmtId="165" fontId="1" fillId="5" borderId="17" xfId="0" applyNumberFormat="1" applyFont="1" applyFill="1" applyBorder="1"/>
    <xf numFmtId="2" fontId="1" fillId="0" borderId="17" xfId="0" applyNumberFormat="1" applyFont="1" applyBorder="1"/>
    <xf numFmtId="2" fontId="1" fillId="0" borderId="16" xfId="0" applyNumberFormat="1" applyFont="1" applyBorder="1"/>
    <xf numFmtId="165" fontId="1" fillId="0" borderId="15" xfId="0" applyNumberFormat="1" applyFont="1" applyBorder="1"/>
    <xf numFmtId="165" fontId="1" fillId="0" borderId="18" xfId="0" applyNumberFormat="1" applyFont="1" applyBorder="1"/>
    <xf numFmtId="165" fontId="1" fillId="0" borderId="16" xfId="0" applyNumberFormat="1" applyFont="1" applyBorder="1"/>
    <xf numFmtId="2" fontId="1" fillId="0" borderId="18" xfId="0" applyNumberFormat="1" applyFont="1" applyBorder="1"/>
    <xf numFmtId="166" fontId="1" fillId="0" borderId="16" xfId="0" applyNumberFormat="1" applyFont="1" applyBorder="1"/>
    <xf numFmtId="166" fontId="1" fillId="0" borderId="18" xfId="0" applyNumberFormat="1" applyFont="1" applyBorder="1"/>
    <xf numFmtId="165" fontId="1" fillId="0" borderId="19" xfId="0" applyNumberFormat="1" applyFont="1" applyBorder="1"/>
    <xf numFmtId="2" fontId="1" fillId="0" borderId="19" xfId="0" applyNumberFormat="1" applyFont="1" applyBorder="1"/>
    <xf numFmtId="166" fontId="1" fillId="0" borderId="19" xfId="0" applyNumberFormat="1" applyFont="1" applyBorder="1"/>
    <xf numFmtId="2" fontId="1" fillId="5" borderId="16" xfId="0" applyNumberFormat="1" applyFont="1" applyFill="1" applyBorder="1"/>
    <xf numFmtId="2" fontId="1" fillId="5" borderId="19" xfId="0" applyNumberFormat="1" applyFont="1" applyFill="1" applyBorder="1"/>
    <xf numFmtId="0" fontId="1" fillId="4" borderId="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7BE6-E4E8-4F1F-A855-CCA4F740F8FA}">
  <dimension ref="A1:DJ85"/>
  <sheetViews>
    <sheetView tabSelected="1" zoomScale="162" zoomScaleNormal="70" workbookViewId="0">
      <selection activeCell="F21" sqref="F21"/>
    </sheetView>
  </sheetViews>
  <sheetFormatPr baseColWidth="10" defaultColWidth="8.83203125" defaultRowHeight="15" x14ac:dyDescent="0.2"/>
  <cols>
    <col min="1" max="1" width="9.1640625" style="25" bestFit="1" customWidth="1"/>
    <col min="2" max="2" width="15.6640625" style="25" bestFit="1" customWidth="1"/>
    <col min="3" max="3" width="5.6640625" style="25" bestFit="1" customWidth="1"/>
    <col min="4" max="4" width="21.6640625" style="25" bestFit="1" customWidth="1"/>
    <col min="5" max="5" width="4.6640625" style="25" bestFit="1" customWidth="1"/>
    <col min="6" max="6" width="19.1640625" style="25" bestFit="1" customWidth="1"/>
    <col min="7" max="7" width="5.6640625" style="25" bestFit="1" customWidth="1"/>
    <col min="8" max="8" width="8.1640625" style="25" bestFit="1" customWidth="1"/>
    <col min="9" max="9" width="5.6640625" style="25" bestFit="1" customWidth="1"/>
    <col min="10" max="10" width="23" style="25" bestFit="1" customWidth="1"/>
    <col min="11" max="11" width="6.6640625" style="25" bestFit="1" customWidth="1"/>
    <col min="12" max="12" width="9.6640625" style="25" bestFit="1" customWidth="1"/>
    <col min="13" max="13" width="7.6640625" style="25" bestFit="1" customWidth="1"/>
    <col min="14" max="14" width="11.83203125" style="25" bestFit="1" customWidth="1"/>
    <col min="15" max="15" width="6.6640625" style="25" bestFit="1" customWidth="1"/>
    <col min="16" max="16" width="12.83203125" style="25" bestFit="1" customWidth="1"/>
    <col min="17" max="17" width="6.6640625" style="25" bestFit="1" customWidth="1"/>
    <col min="18" max="18" width="13.33203125" style="25" bestFit="1" customWidth="1"/>
    <col min="19" max="19" width="6.6640625" style="25" bestFit="1" customWidth="1"/>
    <col min="20" max="20" width="14.33203125" style="25" bestFit="1" customWidth="1"/>
    <col min="21" max="21" width="6.6640625" style="25" bestFit="1" customWidth="1"/>
    <col min="22" max="22" width="15.33203125" style="25" bestFit="1" customWidth="1"/>
    <col min="23" max="23" width="6.6640625" style="25" bestFit="1" customWidth="1"/>
    <col min="24" max="24" width="15.83203125" style="25" bestFit="1" customWidth="1"/>
    <col min="25" max="25" width="15.5" style="25" bestFit="1" customWidth="1"/>
    <col min="26" max="26" width="15.33203125" style="25" bestFit="1" customWidth="1"/>
    <col min="27" max="27" width="9.6640625" style="25" bestFit="1" customWidth="1"/>
    <col min="28" max="28" width="17.33203125" style="25" bestFit="1" customWidth="1"/>
    <col min="29" max="29" width="5.6640625" style="25" bestFit="1" customWidth="1"/>
    <col min="30" max="30" width="21.83203125" style="25" bestFit="1" customWidth="1"/>
    <col min="31" max="31" width="5.6640625" style="25" bestFit="1" customWidth="1"/>
    <col min="32" max="32" width="17.33203125" style="25" bestFit="1" customWidth="1"/>
    <col min="33" max="33" width="6.6640625" style="25" bestFit="1" customWidth="1"/>
    <col min="34" max="34" width="29" style="25" bestFit="1" customWidth="1"/>
    <col min="35" max="35" width="6.6640625" style="25" bestFit="1" customWidth="1"/>
    <col min="36" max="36" width="11.5" style="25" bestFit="1" customWidth="1"/>
    <col min="37" max="37" width="7.6640625" style="25" bestFit="1" customWidth="1"/>
    <col min="38" max="38" width="12.5" style="25" bestFit="1" customWidth="1"/>
    <col min="39" max="39" width="7.6640625" style="25" bestFit="1" customWidth="1"/>
    <col min="40" max="40" width="17.1640625" style="25" bestFit="1" customWidth="1"/>
    <col min="41" max="41" width="8.6640625" style="25" bestFit="1" customWidth="1"/>
    <col min="42" max="42" width="11" style="25" bestFit="1" customWidth="1"/>
    <col min="43" max="43" width="7.6640625" style="25" bestFit="1" customWidth="1"/>
    <col min="44" max="44" width="17.1640625" style="25" bestFit="1" customWidth="1"/>
    <col min="45" max="45" width="6.6640625" style="25" bestFit="1" customWidth="1"/>
    <col min="46" max="46" width="23" style="25" bestFit="1" customWidth="1"/>
    <col min="47" max="47" width="6.6640625" style="25" bestFit="1" customWidth="1"/>
    <col min="48" max="48" width="18" style="25" bestFit="1" customWidth="1"/>
    <col min="49" max="49" width="7.6640625" style="25" bestFit="1" customWidth="1"/>
    <col min="50" max="50" width="7.1640625" style="25" bestFit="1" customWidth="1"/>
    <col min="51" max="51" width="5.6640625" style="25" bestFit="1" customWidth="1"/>
    <col min="52" max="52" width="10.83203125" style="25" bestFit="1" customWidth="1"/>
    <col min="53" max="53" width="6.6640625" style="25" bestFit="1" customWidth="1"/>
    <col min="54" max="54" width="24.5" style="25" bestFit="1" customWidth="1"/>
    <col min="55" max="55" width="6.6640625" style="25" bestFit="1" customWidth="1"/>
    <col min="56" max="56" width="17.33203125" style="25" bestFit="1" customWidth="1"/>
    <col min="57" max="57" width="6.6640625" style="25" bestFit="1" customWidth="1"/>
    <col min="58" max="58" width="29" style="25" bestFit="1" customWidth="1"/>
    <col min="59" max="59" width="6.6640625" style="25" bestFit="1" customWidth="1"/>
    <col min="60" max="60" width="11.83203125" style="25" bestFit="1" customWidth="1"/>
    <col min="61" max="61" width="7.6640625" style="25" bestFit="1" customWidth="1"/>
    <col min="62" max="62" width="12.5" style="25" bestFit="1" customWidth="1"/>
    <col min="63" max="63" width="7.6640625" style="25" bestFit="1" customWidth="1"/>
    <col min="64" max="65" width="8.6640625" style="25" bestFit="1" customWidth="1"/>
    <col min="66" max="66" width="11" style="25" bestFit="1" customWidth="1"/>
    <col min="67" max="67" width="7.6640625" style="25" bestFit="1" customWidth="1"/>
    <col min="68" max="68" width="11.83203125" style="25" bestFit="1" customWidth="1"/>
    <col min="69" max="69" width="7.6640625" style="25" bestFit="1" customWidth="1"/>
    <col min="70" max="70" width="12.83203125" style="25" bestFit="1" customWidth="1"/>
    <col min="71" max="71" width="7.6640625" style="25" bestFit="1" customWidth="1"/>
    <col min="72" max="72" width="12.83203125" style="25" bestFit="1" customWidth="1"/>
    <col min="73" max="73" width="7.6640625" style="25" bestFit="1" customWidth="1"/>
    <col min="74" max="74" width="10.83203125" style="25" bestFit="1" customWidth="1"/>
    <col min="75" max="75" width="6.6640625" style="25" bestFit="1" customWidth="1"/>
    <col min="76" max="76" width="19.33203125" style="25" bestFit="1" customWidth="1"/>
    <col min="77" max="77" width="6.6640625" style="25" bestFit="1" customWidth="1"/>
    <col min="78" max="78" width="24.5" style="25" bestFit="1" customWidth="1"/>
    <col min="79" max="79" width="6.6640625" style="25" bestFit="1" customWidth="1"/>
    <col min="80" max="80" width="10.83203125" style="25" bestFit="1" customWidth="1"/>
    <col min="81" max="81" width="6.6640625" style="25" bestFit="1" customWidth="1"/>
    <col min="82" max="82" width="20.5" style="25" bestFit="1" customWidth="1"/>
    <col min="83" max="83" width="6.6640625" style="25" bestFit="1" customWidth="1"/>
    <col min="84" max="84" width="18.5" style="25" bestFit="1" customWidth="1"/>
    <col min="85" max="85" width="6.6640625" style="25" bestFit="1" customWidth="1"/>
    <col min="86" max="87" width="5.6640625" style="25" bestFit="1" customWidth="1"/>
    <col min="88" max="88" width="11.5" style="25" bestFit="1" customWidth="1"/>
    <col min="89" max="89" width="7.6640625" style="25" bestFit="1" customWidth="1"/>
    <col min="90" max="90" width="11.83203125" style="25" bestFit="1" customWidth="1"/>
    <col min="91" max="91" width="7.6640625" style="25" bestFit="1" customWidth="1"/>
    <col min="92" max="92" width="14" style="25" bestFit="1" customWidth="1"/>
    <col min="93" max="93" width="6.6640625" style="25" bestFit="1" customWidth="1"/>
    <col min="94" max="94" width="15.1640625" style="25" bestFit="1" customWidth="1"/>
    <col min="95" max="95" width="7.6640625" style="25" bestFit="1" customWidth="1"/>
    <col min="96" max="96" width="13.33203125" style="25" bestFit="1" customWidth="1"/>
    <col min="97" max="97" width="7.6640625" style="25" bestFit="1" customWidth="1"/>
    <col min="98" max="98" width="15.83203125" style="25" bestFit="1" customWidth="1"/>
    <col min="99" max="99" width="5.6640625" style="25" bestFit="1" customWidth="1"/>
    <col min="100" max="100" width="17" style="25" bestFit="1" customWidth="1"/>
    <col min="101" max="101" width="5.6640625" style="25" bestFit="1" customWidth="1"/>
    <col min="102" max="102" width="17" style="25" bestFit="1" customWidth="1"/>
    <col min="103" max="103" width="6.6640625" style="25" bestFit="1" customWidth="1"/>
    <col min="104" max="104" width="11.83203125" style="25" bestFit="1" customWidth="1"/>
    <col min="105" max="105" width="7.6640625" style="25" bestFit="1" customWidth="1"/>
    <col min="106" max="106" width="12.83203125" style="25" bestFit="1" customWidth="1"/>
    <col min="107" max="107" width="7.6640625" style="25" bestFit="1" customWidth="1"/>
    <col min="108" max="108" width="12.83203125" style="25" bestFit="1" customWidth="1"/>
    <col min="109" max="109" width="7.6640625" style="25" bestFit="1" customWidth="1"/>
    <col min="110" max="110" width="18.33203125" style="25" bestFit="1" customWidth="1"/>
    <col min="111" max="111" width="5.6640625" style="25" bestFit="1" customWidth="1"/>
    <col min="112" max="112" width="12.1640625" style="25" bestFit="1" customWidth="1"/>
    <col min="113" max="113" width="6.6640625" style="25" bestFit="1" customWidth="1"/>
    <col min="114" max="16384" width="8.83203125" style="25"/>
  </cols>
  <sheetData>
    <row r="1" spans="1:114" x14ac:dyDescent="0.2">
      <c r="A1" s="43"/>
      <c r="B1" s="69" t="s">
        <v>49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1"/>
      <c r="AF1" s="72" t="s">
        <v>0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8"/>
      <c r="BD1" s="73" t="s">
        <v>1</v>
      </c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6"/>
      <c r="CB1" s="69" t="s">
        <v>2</v>
      </c>
      <c r="CC1" s="70"/>
      <c r="CD1" s="70"/>
      <c r="CE1" s="70"/>
      <c r="CF1" s="70"/>
      <c r="CG1" s="70"/>
      <c r="CH1" s="70"/>
      <c r="CI1" s="70"/>
      <c r="CJ1" s="70"/>
      <c r="CK1" s="71"/>
      <c r="CL1" s="65" t="s">
        <v>51</v>
      </c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6"/>
      <c r="DH1" s="67" t="s">
        <v>50</v>
      </c>
      <c r="DI1" s="68"/>
    </row>
    <row r="2" spans="1:114" s="47" customFormat="1" x14ac:dyDescent="0.2">
      <c r="A2" s="43" t="s">
        <v>17</v>
      </c>
      <c r="B2" s="20" t="s">
        <v>3</v>
      </c>
      <c r="C2" s="20"/>
      <c r="D2" s="19" t="s">
        <v>4</v>
      </c>
      <c r="E2" s="20"/>
      <c r="F2" s="19" t="s">
        <v>5</v>
      </c>
      <c r="G2" s="20"/>
      <c r="H2" s="20" t="s">
        <v>6</v>
      </c>
      <c r="I2" s="20"/>
      <c r="J2" s="20" t="s">
        <v>18</v>
      </c>
      <c r="K2" s="20"/>
      <c r="L2" s="19" t="s">
        <v>7</v>
      </c>
      <c r="M2" s="20"/>
      <c r="N2" s="19" t="s">
        <v>19</v>
      </c>
      <c r="O2" s="20"/>
      <c r="P2" s="19" t="s">
        <v>20</v>
      </c>
      <c r="Q2" s="20"/>
      <c r="R2" s="19" t="s">
        <v>21</v>
      </c>
      <c r="S2" s="20"/>
      <c r="T2" s="19" t="s">
        <v>22</v>
      </c>
      <c r="U2" s="20"/>
      <c r="V2" s="19" t="s">
        <v>23</v>
      </c>
      <c r="W2" s="20"/>
      <c r="X2" s="19" t="s">
        <v>24</v>
      </c>
      <c r="Y2" s="19" t="s">
        <v>8</v>
      </c>
      <c r="Z2" s="19" t="s">
        <v>25</v>
      </c>
      <c r="AA2" s="20"/>
      <c r="AB2" s="19" t="s">
        <v>26</v>
      </c>
      <c r="AC2" s="20"/>
      <c r="AD2" s="19" t="s">
        <v>27</v>
      </c>
      <c r="AE2" s="20"/>
      <c r="AF2" s="21" t="s">
        <v>29</v>
      </c>
      <c r="AG2" s="12"/>
      <c r="AH2" s="22" t="s">
        <v>30</v>
      </c>
      <c r="AI2" s="12"/>
      <c r="AJ2" s="22" t="s">
        <v>31</v>
      </c>
      <c r="AK2" s="12"/>
      <c r="AL2" s="12" t="s">
        <v>12</v>
      </c>
      <c r="AM2" s="12"/>
      <c r="AN2" s="12" t="s">
        <v>14</v>
      </c>
      <c r="AO2" s="12"/>
      <c r="AP2" s="12" t="s">
        <v>9</v>
      </c>
      <c r="AQ2" s="12"/>
      <c r="AR2" s="12" t="s">
        <v>15</v>
      </c>
      <c r="AS2" s="12"/>
      <c r="AT2" s="12" t="s">
        <v>16</v>
      </c>
      <c r="AU2" s="12"/>
      <c r="AV2" s="12" t="s">
        <v>28</v>
      </c>
      <c r="AW2" s="12"/>
      <c r="AX2" s="12" t="s">
        <v>10</v>
      </c>
      <c r="AY2" s="12"/>
      <c r="AZ2" s="12" t="s">
        <v>11</v>
      </c>
      <c r="BA2" s="12"/>
      <c r="BB2" s="12" t="s">
        <v>38</v>
      </c>
      <c r="BC2" s="39"/>
      <c r="BD2" s="46" t="s">
        <v>29</v>
      </c>
      <c r="BE2" s="23"/>
      <c r="BF2" s="23" t="s">
        <v>30</v>
      </c>
      <c r="BG2" s="23"/>
      <c r="BH2" s="23" t="s">
        <v>32</v>
      </c>
      <c r="BI2" s="23"/>
      <c r="BJ2" s="23" t="s">
        <v>12</v>
      </c>
      <c r="BK2" s="23"/>
      <c r="BL2" s="23" t="s">
        <v>33</v>
      </c>
      <c r="BM2" s="23"/>
      <c r="BN2" s="23" t="s">
        <v>9</v>
      </c>
      <c r="BO2" s="23"/>
      <c r="BP2" s="23" t="s">
        <v>34</v>
      </c>
      <c r="BQ2" s="23"/>
      <c r="BR2" s="23" t="s">
        <v>35</v>
      </c>
      <c r="BS2" s="23"/>
      <c r="BT2" s="23" t="s">
        <v>36</v>
      </c>
      <c r="BU2" s="23"/>
      <c r="BV2" s="23" t="s">
        <v>11</v>
      </c>
      <c r="BW2" s="23"/>
      <c r="BX2" s="23" t="s">
        <v>37</v>
      </c>
      <c r="BY2" s="23"/>
      <c r="BZ2" s="23" t="s">
        <v>38</v>
      </c>
      <c r="CA2" s="42"/>
      <c r="CB2" s="20" t="s">
        <v>11</v>
      </c>
      <c r="CC2" s="34"/>
      <c r="CD2" s="20" t="s">
        <v>39</v>
      </c>
      <c r="CE2" s="20"/>
      <c r="CF2" s="20" t="s">
        <v>40</v>
      </c>
      <c r="CG2" s="20"/>
      <c r="CH2" s="20" t="s">
        <v>13</v>
      </c>
      <c r="CI2" s="20"/>
      <c r="CJ2" s="20" t="s">
        <v>31</v>
      </c>
      <c r="CK2" s="41"/>
      <c r="CL2" s="23" t="s">
        <v>32</v>
      </c>
      <c r="CM2" s="23"/>
      <c r="CN2" s="23" t="s">
        <v>41</v>
      </c>
      <c r="CO2" s="23"/>
      <c r="CP2" s="23" t="s">
        <v>42</v>
      </c>
      <c r="CQ2" s="23"/>
      <c r="CR2" s="23" t="s">
        <v>43</v>
      </c>
      <c r="CS2" s="23"/>
      <c r="CT2" s="23" t="s">
        <v>44</v>
      </c>
      <c r="CU2" s="23"/>
      <c r="CV2" s="23" t="s">
        <v>45</v>
      </c>
      <c r="CW2" s="23"/>
      <c r="CX2" s="23" t="s">
        <v>46</v>
      </c>
      <c r="CY2" s="23"/>
      <c r="CZ2" s="23" t="s">
        <v>34</v>
      </c>
      <c r="DA2" s="23"/>
      <c r="DB2" s="23" t="s">
        <v>35</v>
      </c>
      <c r="DC2" s="23"/>
      <c r="DD2" s="23" t="s">
        <v>36</v>
      </c>
      <c r="DE2" s="24"/>
      <c r="DF2" s="24" t="s">
        <v>47</v>
      </c>
      <c r="DG2" s="45"/>
      <c r="DH2" s="12" t="s">
        <v>48</v>
      </c>
      <c r="DI2" s="12"/>
      <c r="DJ2" s="48"/>
    </row>
    <row r="3" spans="1:114" s="6" customFormat="1" x14ac:dyDescent="0.2">
      <c r="A3" s="44">
        <v>1</v>
      </c>
      <c r="B3" s="3">
        <v>13.905000000000001</v>
      </c>
      <c r="C3" s="3">
        <v>14.16</v>
      </c>
      <c r="D3" s="2">
        <v>4.46</v>
      </c>
      <c r="E3" s="3">
        <v>4.6549999999999994</v>
      </c>
      <c r="F3" s="2">
        <v>9.4450000000000003</v>
      </c>
      <c r="G3" s="27">
        <v>9.504999999999999</v>
      </c>
      <c r="H3" s="3">
        <v>4.5191387559808618</v>
      </c>
      <c r="I3" s="27">
        <v>4.5478468899521536</v>
      </c>
      <c r="J3" s="3">
        <v>121.964</v>
      </c>
      <c r="K3" s="3">
        <v>118.15925</v>
      </c>
      <c r="L3" s="2">
        <v>4420.9208076892301</v>
      </c>
      <c r="M3" s="3">
        <v>3646.8045166880811</v>
      </c>
      <c r="N3" s="2">
        <v>369.35606284414246</v>
      </c>
      <c r="O3" s="3">
        <v>325.76392980733868</v>
      </c>
      <c r="P3" s="1">
        <v>216.99100430188349</v>
      </c>
      <c r="Q3" s="6">
        <v>180.61358964431571</v>
      </c>
      <c r="R3" s="1">
        <v>-153.7228739639759</v>
      </c>
      <c r="S3" s="6">
        <v>434.32513992950993</v>
      </c>
      <c r="T3" s="1">
        <v>771.95417134425759</v>
      </c>
      <c r="U3" s="6">
        <v>680.84661329733797</v>
      </c>
      <c r="V3" s="1">
        <v>453.51119899093646</v>
      </c>
      <c r="W3" s="6">
        <v>428.13706114109686</v>
      </c>
      <c r="X3" s="1">
        <v>-321.28080658470935</v>
      </c>
      <c r="Y3" s="6">
        <v>656.54890045041361</v>
      </c>
      <c r="Z3" s="4">
        <v>978.26622425309574</v>
      </c>
      <c r="AA3" s="5">
        <v>801.87495422178733</v>
      </c>
      <c r="AB3" s="2">
        <v>27.587917835549138</v>
      </c>
      <c r="AC3" s="3">
        <v>32.400763314648053</v>
      </c>
      <c r="AD3" s="2">
        <v>10.7</v>
      </c>
      <c r="AE3" s="3">
        <v>8.6999999999999993</v>
      </c>
      <c r="AF3" s="9">
        <v>2.1856</v>
      </c>
      <c r="AG3" s="5">
        <v>2.1985666666666668</v>
      </c>
      <c r="AH3" s="4">
        <v>0.2434839847094801</v>
      </c>
      <c r="AI3" s="5">
        <v>0.24639003652735303</v>
      </c>
      <c r="AJ3" s="2">
        <v>1839.2666666666667</v>
      </c>
      <c r="AK3" s="27">
        <v>1627.9333333333334</v>
      </c>
      <c r="AL3" s="3">
        <v>3190.7666666666664</v>
      </c>
      <c r="AM3" s="27">
        <v>3022.3666666666668</v>
      </c>
      <c r="AN3" s="3">
        <v>22302.333333333332</v>
      </c>
      <c r="AO3" s="27">
        <v>16949.333333333332</v>
      </c>
      <c r="AP3" s="3">
        <v>6984.9666666666672</v>
      </c>
      <c r="AQ3" s="27">
        <v>5265</v>
      </c>
      <c r="AR3" s="3">
        <v>468.15</v>
      </c>
      <c r="AS3" s="27">
        <v>509.64333333333337</v>
      </c>
      <c r="AT3" s="5">
        <v>0.18837333333333336</v>
      </c>
      <c r="AU3" s="13">
        <v>0.23205000000000001</v>
      </c>
      <c r="AV3" s="3">
        <v>9915.7715880583819</v>
      </c>
      <c r="AW3" s="27">
        <v>7089.5945352036679</v>
      </c>
      <c r="AX3" s="10">
        <v>0.45352884952220496</v>
      </c>
      <c r="AY3" s="28">
        <v>0.40138201063476342</v>
      </c>
      <c r="AZ3" s="5">
        <v>0.47500000000000003</v>
      </c>
      <c r="BA3" s="13">
        <v>0.47699999999999987</v>
      </c>
      <c r="BB3" s="5">
        <v>0.27668001375000006</v>
      </c>
      <c r="BC3" s="30">
        <v>0.27901806374999988</v>
      </c>
      <c r="BD3" s="5">
        <v>2.1110000000000002</v>
      </c>
      <c r="BE3" s="13">
        <v>2.0706333333333333</v>
      </c>
      <c r="BF3" s="5">
        <v>0.22713154943934763</v>
      </c>
      <c r="BG3" s="13">
        <v>0.2185328564390078</v>
      </c>
      <c r="BH3" s="3">
        <v>1449.1999999999998</v>
      </c>
      <c r="BI3" s="27">
        <v>1463</v>
      </c>
      <c r="BJ3" s="3">
        <v>2849.6</v>
      </c>
      <c r="BK3" s="27">
        <v>2827.3333333333335</v>
      </c>
      <c r="BL3" s="3">
        <v>6471.4</v>
      </c>
      <c r="BM3" s="11">
        <v>7005.833333333333</v>
      </c>
      <c r="BN3" s="3">
        <v>1741.1</v>
      </c>
      <c r="BO3" s="11">
        <v>2039</v>
      </c>
      <c r="BP3" s="3">
        <v>1150.6000000000001</v>
      </c>
      <c r="BQ3" s="11">
        <v>2211.2666666666664</v>
      </c>
      <c r="BR3" s="3">
        <v>1837.8333333333333</v>
      </c>
      <c r="BS3" s="11">
        <v>2845.6</v>
      </c>
      <c r="BT3" s="3">
        <v>1438</v>
      </c>
      <c r="BU3" s="11">
        <v>1448.3</v>
      </c>
      <c r="BV3" s="5">
        <v>0.44033333333333341</v>
      </c>
      <c r="BW3" s="13">
        <v>0.44266666666666654</v>
      </c>
      <c r="BX3" s="5">
        <f t="shared" ref="BX3:BX19" si="0">AH3/BF3</f>
        <v>1.0719954374920475</v>
      </c>
      <c r="BY3" s="13">
        <f t="shared" ref="BY3:BY19" si="1">AI3/BG3</f>
        <v>1.1274736464908659</v>
      </c>
      <c r="BZ3" s="5">
        <v>0.23784385875000005</v>
      </c>
      <c r="CA3" s="31">
        <v>0.24028940999999984</v>
      </c>
      <c r="CB3" s="5">
        <v>0.42799999999999999</v>
      </c>
      <c r="CC3" s="13">
        <v>0.4366666666666667</v>
      </c>
      <c r="CD3" s="5">
        <v>0.22470377249999998</v>
      </c>
      <c r="CE3" s="13">
        <v>0.23386794749999998</v>
      </c>
      <c r="CF3" s="5">
        <v>0.22333333333333336</v>
      </c>
      <c r="CG3" s="13">
        <v>0.23166666666666666</v>
      </c>
      <c r="CH3" s="10">
        <v>1.0058648469747602</v>
      </c>
      <c r="CI3" s="28">
        <v>1.0098734408947625</v>
      </c>
      <c r="CJ3" s="15">
        <v>3435.6333333333337</v>
      </c>
      <c r="CK3" s="33">
        <v>3203.5666666666671</v>
      </c>
      <c r="CL3" s="3">
        <v>1789.1333333333332</v>
      </c>
      <c r="CM3" s="3">
        <v>1763.9333333333332</v>
      </c>
      <c r="CN3" s="14">
        <v>809.00666666666666</v>
      </c>
      <c r="CO3" s="3">
        <v>797.60666666666657</v>
      </c>
      <c r="CP3" s="14">
        <v>987.7166666666667</v>
      </c>
      <c r="CQ3" s="3">
        <v>1003.1466666666666</v>
      </c>
      <c r="CR3" s="14">
        <v>1529.5</v>
      </c>
      <c r="CS3" s="3">
        <v>1537.8</v>
      </c>
      <c r="CT3" s="14">
        <v>37.46</v>
      </c>
      <c r="CU3" s="3">
        <v>36.566000000000003</v>
      </c>
      <c r="CV3" s="14">
        <v>82.395333333333326</v>
      </c>
      <c r="CW3" s="3">
        <v>81.692000000000007</v>
      </c>
      <c r="CX3" s="14">
        <v>275.80333333333334</v>
      </c>
      <c r="CY3" s="3">
        <v>276.45666666666671</v>
      </c>
      <c r="CZ3" s="14">
        <v>1873.9666666666665</v>
      </c>
      <c r="DA3" s="3">
        <v>2005.5333333333335</v>
      </c>
      <c r="DB3" s="14">
        <v>2726.7</v>
      </c>
      <c r="DC3" s="11">
        <v>3058.3333333333335</v>
      </c>
      <c r="DD3" s="15">
        <v>3257.2999999999997</v>
      </c>
      <c r="DE3" s="11">
        <v>3361.0333333333333</v>
      </c>
      <c r="DF3" s="10">
        <v>1.0280210157618215</v>
      </c>
      <c r="DG3" s="36">
        <v>0.92289958048301157</v>
      </c>
      <c r="DH3" s="3">
        <v>103.09033333333332</v>
      </c>
      <c r="DI3" s="32">
        <v>97.196233407904529</v>
      </c>
    </row>
    <row r="4" spans="1:114" s="6" customFormat="1" x14ac:dyDescent="0.2">
      <c r="A4" s="44">
        <v>2</v>
      </c>
      <c r="B4" s="3">
        <v>20.46</v>
      </c>
      <c r="C4" s="3">
        <v>14.839999999999998</v>
      </c>
      <c r="D4" s="2">
        <v>5.3149999999999995</v>
      </c>
      <c r="E4" s="3">
        <v>4.583333333333333</v>
      </c>
      <c r="F4" s="2">
        <v>15.145</v>
      </c>
      <c r="G4" s="11">
        <v>10.256666666666666</v>
      </c>
      <c r="H4" s="3">
        <v>8.460893854748603</v>
      </c>
      <c r="I4" s="11">
        <v>5.7299813780260704</v>
      </c>
      <c r="J4" s="3">
        <v>119.83475000000001</v>
      </c>
      <c r="K4" s="3">
        <v>141.56666666666666</v>
      </c>
      <c r="L4" s="2">
        <v>3651.3077329249645</v>
      </c>
      <c r="M4" s="3">
        <v>4056.6079842987251</v>
      </c>
      <c r="N4" s="2">
        <v>242.28812787208113</v>
      </c>
      <c r="O4" s="3">
        <v>402.38308314982157</v>
      </c>
      <c r="P4" s="1">
        <v>112.64479034245799</v>
      </c>
      <c r="Q4" s="6">
        <v>272.9378192764014</v>
      </c>
      <c r="R4" s="1">
        <v>290.11861673081745</v>
      </c>
      <c r="S4" s="6">
        <v>643.80286808813128</v>
      </c>
      <c r="T4" s="1">
        <v>433.69574889102518</v>
      </c>
      <c r="U4" s="6">
        <v>720.26571883818053</v>
      </c>
      <c r="V4" s="1">
        <v>201.63417471299979</v>
      </c>
      <c r="W4" s="6">
        <v>488.55869650475859</v>
      </c>
      <c r="X4" s="1">
        <v>519.31232394816323</v>
      </c>
      <c r="Y4" s="6">
        <v>1152.4071338777549</v>
      </c>
      <c r="Z4" s="4">
        <v>431.55106252464094</v>
      </c>
      <c r="AA4" s="5">
        <v>707.96180941449973</v>
      </c>
      <c r="AB4" s="2">
        <v>32.819679623115086</v>
      </c>
      <c r="AC4" s="3">
        <v>34.897793233806794</v>
      </c>
      <c r="AD4" s="2">
        <v>11.7</v>
      </c>
      <c r="AE4" s="3">
        <v>11.2</v>
      </c>
      <c r="AF4" s="9">
        <v>1.7935999999999999</v>
      </c>
      <c r="AG4" s="5">
        <v>1.8471333333333335</v>
      </c>
      <c r="AH4" s="4">
        <v>0.16398823751274208</v>
      </c>
      <c r="AI4" s="5">
        <v>0.17392342575603126</v>
      </c>
      <c r="AJ4" s="2">
        <v>1214.3666666666668</v>
      </c>
      <c r="AK4" s="11">
        <v>1316.4666666666665</v>
      </c>
      <c r="AL4" s="3">
        <v>2079.6333333333332</v>
      </c>
      <c r="AM4" s="11">
        <v>2243.8333333333335</v>
      </c>
      <c r="AN4" s="3">
        <v>9839.4</v>
      </c>
      <c r="AO4" s="11">
        <v>12370.333333333334</v>
      </c>
      <c r="AP4" s="3">
        <v>1560.3</v>
      </c>
      <c r="AQ4" s="11">
        <v>2069.5666666666671</v>
      </c>
      <c r="AR4" s="3">
        <v>468.46</v>
      </c>
      <c r="AS4" s="11">
        <v>431.3</v>
      </c>
      <c r="AT4" s="5">
        <v>0.28570000000000001</v>
      </c>
      <c r="AU4" s="8">
        <v>0.21302333333333334</v>
      </c>
      <c r="AV4" s="3">
        <v>4303.905569992613</v>
      </c>
      <c r="AW4" s="11">
        <v>6182.0579154224297</v>
      </c>
      <c r="AX4" s="10">
        <v>0.19277284952354626</v>
      </c>
      <c r="AY4" s="29">
        <v>0.2191287104215435</v>
      </c>
      <c r="AZ4" s="5">
        <v>0.37833333333333324</v>
      </c>
      <c r="BA4" s="8">
        <v>0.38000000000000006</v>
      </c>
      <c r="BB4" s="5">
        <v>0.17554545374999994</v>
      </c>
      <c r="BC4" s="31">
        <v>0.17709993000000004</v>
      </c>
      <c r="BD4" s="5">
        <v>1.7477666666666669</v>
      </c>
      <c r="BE4" s="8">
        <v>1.7369666666666665</v>
      </c>
      <c r="BF4" s="5">
        <v>0.15577308002038737</v>
      </c>
      <c r="BG4" s="8">
        <v>0.15390046975874958</v>
      </c>
      <c r="BH4" s="3">
        <v>1310.8333333333333</v>
      </c>
      <c r="BI4" s="11">
        <v>1416.3</v>
      </c>
      <c r="BJ4" s="3">
        <v>2120.0666666666671</v>
      </c>
      <c r="BK4" s="11">
        <v>2199.9666666666667</v>
      </c>
      <c r="BL4" s="3">
        <v>7066.3</v>
      </c>
      <c r="BM4" s="11">
        <v>8156.9333333333334</v>
      </c>
      <c r="BN4" s="3">
        <v>2371.4333333333329</v>
      </c>
      <c r="BO4" s="11">
        <v>3190.7000000000003</v>
      </c>
      <c r="BP4" s="3">
        <v>1308.4100000000001</v>
      </c>
      <c r="BQ4" s="11">
        <v>1325.4333333333334</v>
      </c>
      <c r="BR4" s="3">
        <v>2208.9333333333334</v>
      </c>
      <c r="BS4" s="11">
        <v>2122.5333333333333</v>
      </c>
      <c r="BT4" s="3">
        <v>2473.9666666666667</v>
      </c>
      <c r="BU4" s="11">
        <v>3140.6333333333332</v>
      </c>
      <c r="BV4" s="5">
        <v>0.3683333333333334</v>
      </c>
      <c r="BW4" s="8">
        <v>0.35366666666666674</v>
      </c>
      <c r="BX4" s="5">
        <f t="shared" si="0"/>
        <v>1.0527379794459961</v>
      </c>
      <c r="BY4" s="8">
        <f t="shared" si="1"/>
        <v>1.130103280572627</v>
      </c>
      <c r="BZ4" s="5">
        <v>0.16637310375000006</v>
      </c>
      <c r="CA4" s="31">
        <v>0.15347949375000006</v>
      </c>
      <c r="CB4" s="5">
        <v>0.25466666666666665</v>
      </c>
      <c r="CC4" s="8">
        <v>0.28099999999999997</v>
      </c>
      <c r="CD4" s="5">
        <v>7.997193750000002E-2</v>
      </c>
      <c r="CE4" s="8">
        <v>9.6980433749999997E-2</v>
      </c>
      <c r="CF4" s="5">
        <v>0.24266666666666667</v>
      </c>
      <c r="CG4" s="8">
        <v>0.25</v>
      </c>
      <c r="CH4" s="10">
        <v>0.3333795434423415</v>
      </c>
      <c r="CI4" s="29">
        <v>0.38744578208056019</v>
      </c>
      <c r="CJ4" s="3">
        <v>3125</v>
      </c>
      <c r="CK4" s="33">
        <v>3375.3666666666668</v>
      </c>
      <c r="CL4" s="3">
        <v>1631.8</v>
      </c>
      <c r="CM4" s="3">
        <v>1577.6333333333332</v>
      </c>
      <c r="CN4" s="2">
        <v>745.79</v>
      </c>
      <c r="CO4" s="3">
        <v>733.35</v>
      </c>
      <c r="CP4" s="2">
        <v>857.91</v>
      </c>
      <c r="CQ4" s="3">
        <v>756.64</v>
      </c>
      <c r="CR4" s="2">
        <v>1149.3</v>
      </c>
      <c r="CS4" s="3">
        <v>1242.5999999999999</v>
      </c>
      <c r="CT4" s="2">
        <v>36.232999999999997</v>
      </c>
      <c r="CU4" s="3">
        <v>36.139000000000003</v>
      </c>
      <c r="CV4" s="2">
        <v>75.757000000000005</v>
      </c>
      <c r="CW4" s="3">
        <v>73.332999999999998</v>
      </c>
      <c r="CX4" s="2">
        <v>236.6</v>
      </c>
      <c r="CY4" s="3">
        <v>223.03</v>
      </c>
      <c r="CZ4" s="2">
        <v>726.42</v>
      </c>
      <c r="DA4" s="3">
        <v>347.42</v>
      </c>
      <c r="DB4" s="2">
        <v>1492.3</v>
      </c>
      <c r="DC4" s="11">
        <v>402.69</v>
      </c>
      <c r="DD4" s="3">
        <v>1751.3</v>
      </c>
      <c r="DE4" s="11">
        <v>2106.6</v>
      </c>
      <c r="DF4" s="10">
        <v>0.74418842178371547</v>
      </c>
      <c r="DG4" s="37">
        <v>0.83445667561114745</v>
      </c>
      <c r="DH4" s="3">
        <v>144.46866666666665</v>
      </c>
      <c r="DI4" s="33">
        <v>154.96300000000002</v>
      </c>
    </row>
    <row r="5" spans="1:114" s="6" customFormat="1" x14ac:dyDescent="0.2">
      <c r="A5" s="44">
        <v>3</v>
      </c>
      <c r="B5" s="3">
        <v>8.81</v>
      </c>
      <c r="C5" s="3">
        <v>8.2333333333333325</v>
      </c>
      <c r="D5" s="2">
        <v>2.0825</v>
      </c>
      <c r="E5" s="3">
        <v>2.31</v>
      </c>
      <c r="F5" s="2">
        <v>6.7275</v>
      </c>
      <c r="G5" s="11">
        <v>5.9233333333333329</v>
      </c>
      <c r="H5" s="3">
        <v>3.0860091743119269</v>
      </c>
      <c r="I5" s="11">
        <v>2.717125382262997</v>
      </c>
      <c r="J5" s="3">
        <v>85.492249999999999</v>
      </c>
      <c r="K5" s="3">
        <v>82.361666666666679</v>
      </c>
      <c r="L5" s="2">
        <v>2970.9321620090595</v>
      </c>
      <c r="M5" s="3">
        <v>2891.9592449911852</v>
      </c>
      <c r="N5" s="2">
        <v>418.65439652787518</v>
      </c>
      <c r="O5" s="3">
        <v>231.53101953746219</v>
      </c>
      <c r="P5" s="1">
        <v>251.17456837046103</v>
      </c>
      <c r="Q5" s="6">
        <v>101.565274823084</v>
      </c>
      <c r="R5" s="1">
        <v>122.04793859206599</v>
      </c>
      <c r="S5" s="6">
        <v>-336.30444433832741</v>
      </c>
      <c r="T5" s="1">
        <v>912.66658443076824</v>
      </c>
      <c r="U5" s="6">
        <v>221.41229911432302</v>
      </c>
      <c r="V5" s="1">
        <v>547.56055904760524</v>
      </c>
      <c r="W5" s="6">
        <v>-733.14368865755353</v>
      </c>
      <c r="X5" s="1">
        <v>266.06450613070371</v>
      </c>
      <c r="Y5" s="6">
        <v>17.155621083119403</v>
      </c>
      <c r="Z5" s="4">
        <v>962.71008742917115</v>
      </c>
      <c r="AA5" s="5">
        <v>1064.34515825787</v>
      </c>
      <c r="AB5" s="2">
        <v>28.776237671541729</v>
      </c>
      <c r="AC5" s="3">
        <v>28.47953919451507</v>
      </c>
      <c r="AD5" s="2">
        <v>5.2</v>
      </c>
      <c r="AE5" s="3">
        <v>5.8</v>
      </c>
      <c r="AF5" s="9">
        <v>1.8379666666666667</v>
      </c>
      <c r="AG5" s="5">
        <v>1.8551666666666666</v>
      </c>
      <c r="AH5" s="4">
        <v>0.17220800968399588</v>
      </c>
      <c r="AI5" s="5">
        <v>0.17551410414542981</v>
      </c>
      <c r="AJ5" s="2">
        <v>1087.4666666666665</v>
      </c>
      <c r="AK5" s="11">
        <v>1098.1333333333334</v>
      </c>
      <c r="AL5" s="3">
        <v>1672.3666666666668</v>
      </c>
      <c r="AM5" s="11">
        <v>1654.5666666666666</v>
      </c>
      <c r="AN5" s="3">
        <v>11954.666666666666</v>
      </c>
      <c r="AO5" s="11">
        <v>11912.333333333334</v>
      </c>
      <c r="AP5" s="3">
        <v>4281.166666666667</v>
      </c>
      <c r="AQ5" s="11">
        <v>4660.2999999999993</v>
      </c>
      <c r="AR5" s="3">
        <v>281.92666666666668</v>
      </c>
      <c r="AS5" s="11">
        <v>283.20999999999998</v>
      </c>
      <c r="AT5" s="5">
        <v>0.18399666666666667</v>
      </c>
      <c r="AU5" s="8">
        <v>0.17974666666666664</v>
      </c>
      <c r="AV5" s="3">
        <v>5913.5920991910471</v>
      </c>
      <c r="AW5" s="11">
        <v>6269.794163064661</v>
      </c>
      <c r="AX5" s="10">
        <v>0.28151476054391428</v>
      </c>
      <c r="AY5" s="29">
        <v>0.33062793538568935</v>
      </c>
      <c r="AZ5" s="5">
        <v>0.39533333333333326</v>
      </c>
      <c r="BA5" s="8">
        <v>0.40899999999999997</v>
      </c>
      <c r="BB5" s="5">
        <v>0.19176342749999989</v>
      </c>
      <c r="BC5" s="31">
        <v>0.20516838374999993</v>
      </c>
      <c r="BD5" s="5">
        <v>1.5683</v>
      </c>
      <c r="BE5" s="8">
        <v>1.6972666666666667</v>
      </c>
      <c r="BF5" s="5">
        <v>0.12558911196058442</v>
      </c>
      <c r="BG5" s="8">
        <v>0.14693847468569488</v>
      </c>
      <c r="BH5" s="3">
        <v>826.69333333333327</v>
      </c>
      <c r="BI5" s="11">
        <v>829.89666666666665</v>
      </c>
      <c r="BJ5" s="3">
        <v>1303.6333333333334</v>
      </c>
      <c r="BK5" s="11">
        <v>1374.3666666666668</v>
      </c>
      <c r="BL5" s="3">
        <v>4059.5333333333328</v>
      </c>
      <c r="BM5" s="11">
        <v>3677.8666666666668</v>
      </c>
      <c r="BN5" s="3">
        <v>1319.4633333333334</v>
      </c>
      <c r="BO5" s="11">
        <v>1105.52</v>
      </c>
      <c r="BP5" s="3">
        <v>1601.5666666666666</v>
      </c>
      <c r="BQ5" s="11">
        <v>898.79333333333318</v>
      </c>
      <c r="BR5" s="3">
        <v>2325.7000000000003</v>
      </c>
      <c r="BS5" s="11">
        <v>1253.4733333333336</v>
      </c>
      <c r="BT5" s="3">
        <v>1384.1333333333332</v>
      </c>
      <c r="BU5" s="11">
        <v>1043.1600000000001</v>
      </c>
      <c r="BV5" s="5">
        <v>0.33800000000000002</v>
      </c>
      <c r="BW5" s="8">
        <v>0.35500000000000004</v>
      </c>
      <c r="BX5" s="5">
        <f t="shared" si="0"/>
        <v>1.3712017466772326</v>
      </c>
      <c r="BY5" s="8">
        <f t="shared" si="1"/>
        <v>1.1944734319643575</v>
      </c>
      <c r="BZ5" s="5">
        <v>0.1404211575</v>
      </c>
      <c r="CA5" s="31">
        <v>0.15455532375000006</v>
      </c>
      <c r="CB5" s="5">
        <v>0.32533333333333331</v>
      </c>
      <c r="CC5" s="8">
        <v>0.33699999999999997</v>
      </c>
      <c r="CD5" s="5">
        <v>0.12981654750000002</v>
      </c>
      <c r="CE5" s="8">
        <v>0.13939151625000001</v>
      </c>
      <c r="CF5" s="5">
        <v>0.28266666666666668</v>
      </c>
      <c r="CG5" s="8">
        <v>0.26966666666666667</v>
      </c>
      <c r="CH5" s="10">
        <v>0.45980236247027556</v>
      </c>
      <c r="CI5" s="29">
        <v>0.51766185411633792</v>
      </c>
      <c r="CJ5" s="3">
        <v>1918.0333333333335</v>
      </c>
      <c r="CK5" s="33">
        <v>1810.8</v>
      </c>
      <c r="CL5" s="16"/>
      <c r="CM5" s="16"/>
      <c r="CN5" s="17"/>
      <c r="CO5" s="16"/>
      <c r="CP5" s="17"/>
      <c r="CQ5" s="16"/>
      <c r="CR5" s="17"/>
      <c r="CS5" s="16"/>
      <c r="CT5" s="17"/>
      <c r="CU5" s="16"/>
      <c r="CV5" s="17"/>
      <c r="CW5" s="16"/>
      <c r="CX5" s="17"/>
      <c r="CY5" s="16"/>
      <c r="CZ5" s="17"/>
      <c r="DA5" s="16"/>
      <c r="DB5" s="17"/>
      <c r="DC5" s="35"/>
      <c r="DD5" s="16"/>
      <c r="DE5" s="35"/>
      <c r="DF5" s="18"/>
      <c r="DG5" s="38"/>
      <c r="DH5" s="3">
        <v>78.541333333333327</v>
      </c>
      <c r="DI5" s="33">
        <v>70.7</v>
      </c>
    </row>
    <row r="6" spans="1:114" s="6" customFormat="1" x14ac:dyDescent="0.2">
      <c r="A6" s="44">
        <v>4</v>
      </c>
      <c r="B6" s="3">
        <v>12.806666666666667</v>
      </c>
      <c r="C6" s="3">
        <v>10.225000000000001</v>
      </c>
      <c r="D6" s="2">
        <v>5.1733333333333329</v>
      </c>
      <c r="E6" s="3">
        <v>5.1050000000000004</v>
      </c>
      <c r="F6" s="2">
        <v>7.6333333333333329</v>
      </c>
      <c r="G6" s="11">
        <v>5.12</v>
      </c>
      <c r="H6" s="3">
        <v>4.0069991251093624</v>
      </c>
      <c r="I6" s="11">
        <v>2.6876640419947506</v>
      </c>
      <c r="J6" s="3">
        <v>114.15566666666666</v>
      </c>
      <c r="K6" s="3">
        <v>101.55475</v>
      </c>
      <c r="L6" s="2">
        <v>3754.0574551446953</v>
      </c>
      <c r="M6" s="3">
        <v>2797.8652757448667</v>
      </c>
      <c r="N6" s="2">
        <v>436.91171756444578</v>
      </c>
      <c r="O6" s="3">
        <v>603.16023960948678</v>
      </c>
      <c r="P6" s="1">
        <v>206.12410099012763</v>
      </c>
      <c r="Q6" s="6">
        <v>180.90679515747445</v>
      </c>
      <c r="R6" s="1">
        <v>135.90783889198127</v>
      </c>
      <c r="S6" s="6">
        <v>378.01610039961656</v>
      </c>
      <c r="T6" s="1">
        <v>832.31682196026952</v>
      </c>
      <c r="U6" s="6">
        <v>1149.0202564560723</v>
      </c>
      <c r="V6" s="1">
        <v>392.66641238619309</v>
      </c>
      <c r="W6" s="6">
        <v>344.62744477498876</v>
      </c>
      <c r="X6" s="1">
        <v>258.90443308922619</v>
      </c>
      <c r="Y6" s="6">
        <v>720.12067126126976</v>
      </c>
      <c r="Z6" s="4">
        <v>936.87503738654709</v>
      </c>
      <c r="AA6" s="5">
        <v>1041.0026074792913</v>
      </c>
      <c r="AB6" s="2">
        <v>30.408609359514099</v>
      </c>
      <c r="AC6" s="3">
        <v>36.297226632173491</v>
      </c>
      <c r="AD6" s="2">
        <v>9.8000000000000007</v>
      </c>
      <c r="AE6" s="3">
        <v>8.1</v>
      </c>
      <c r="AF6" s="9">
        <v>1.8577000000000001</v>
      </c>
      <c r="AG6" s="5">
        <v>1.9271666666666667</v>
      </c>
      <c r="AH6" s="4">
        <v>0.17589979969418959</v>
      </c>
      <c r="AI6" s="5">
        <v>0.18929810414542983</v>
      </c>
      <c r="AJ6" s="2">
        <v>1487.9333333333334</v>
      </c>
      <c r="AK6" s="11">
        <v>1644.4333333333334</v>
      </c>
      <c r="AL6" s="3">
        <v>2315.6333333333337</v>
      </c>
      <c r="AM6" s="11">
        <v>2450.9333333333329</v>
      </c>
      <c r="AN6" s="3">
        <v>13974.666666666666</v>
      </c>
      <c r="AO6" s="11">
        <v>16613.333333333332</v>
      </c>
      <c r="AP6" s="3">
        <v>5498.4333333333334</v>
      </c>
      <c r="AQ6" s="11">
        <v>7823.9333333333334</v>
      </c>
      <c r="AR6" s="3">
        <v>435.27333333333331</v>
      </c>
      <c r="AS6" s="11">
        <v>421.44666666666672</v>
      </c>
      <c r="AT6" s="5">
        <v>0.19153666666666666</v>
      </c>
      <c r="AU6" s="8">
        <v>0.19672000000000001</v>
      </c>
      <c r="AV6" s="3">
        <v>8049.4464958125754</v>
      </c>
      <c r="AW6" s="11">
        <v>8438.1861850805453</v>
      </c>
      <c r="AX6" s="10">
        <v>0.27626524225954646</v>
      </c>
      <c r="AY6" s="29">
        <v>0.32679520565211084</v>
      </c>
      <c r="AZ6" s="5">
        <v>0.40233333333333343</v>
      </c>
      <c r="BA6" s="8">
        <v>0.40433333333333321</v>
      </c>
      <c r="BB6" s="5">
        <v>0.19850575875000009</v>
      </c>
      <c r="BC6" s="31">
        <v>0.20049473624999989</v>
      </c>
      <c r="BD6" s="5">
        <v>1.8346666666666664</v>
      </c>
      <c r="BE6" s="8">
        <v>1.8744000000000003</v>
      </c>
      <c r="BF6" s="5">
        <v>0.17161571593611957</v>
      </c>
      <c r="BG6" s="8">
        <v>0.17908043221202855</v>
      </c>
      <c r="BH6" s="3">
        <v>1182.0666666666666</v>
      </c>
      <c r="BI6" s="11">
        <v>1150.8999999999999</v>
      </c>
      <c r="BJ6" s="3">
        <v>2160.6999999999998</v>
      </c>
      <c r="BK6" s="11">
        <v>2149.9</v>
      </c>
      <c r="BL6" s="3">
        <v>4516.2</v>
      </c>
      <c r="BM6" s="11">
        <v>5565.5666666666666</v>
      </c>
      <c r="BN6" s="3">
        <v>802.32</v>
      </c>
      <c r="BO6" s="11">
        <v>1324.6</v>
      </c>
      <c r="BP6" s="3">
        <v>592.82999999999993</v>
      </c>
      <c r="BQ6" s="11">
        <v>1781</v>
      </c>
      <c r="BR6" s="3">
        <v>817.12666666666667</v>
      </c>
      <c r="BS6" s="11">
        <v>2800.7999999999997</v>
      </c>
      <c r="BT6" s="3">
        <v>1108.4666666666665</v>
      </c>
      <c r="BU6" s="11">
        <v>1601.7</v>
      </c>
      <c r="BV6" s="5">
        <v>0.38200000000000006</v>
      </c>
      <c r="BW6" s="8">
        <v>0.39033333333333325</v>
      </c>
      <c r="BX6" s="5">
        <f t="shared" si="0"/>
        <v>1.0249632368148887</v>
      </c>
      <c r="BY6" s="8">
        <f t="shared" si="1"/>
        <v>1.0570563283056169</v>
      </c>
      <c r="BZ6" s="5">
        <v>0.17895974250000002</v>
      </c>
      <c r="CA6" s="31">
        <v>0.18686619374999994</v>
      </c>
      <c r="CB6" s="5">
        <v>0.35499999999999998</v>
      </c>
      <c r="CC6" s="8">
        <v>0.36533333333333334</v>
      </c>
      <c r="CD6" s="5">
        <v>0.15481855875000003</v>
      </c>
      <c r="CE6" s="8">
        <v>0.1638049275</v>
      </c>
      <c r="CF6" s="5">
        <v>0.25600000000000001</v>
      </c>
      <c r="CG6" s="8">
        <v>0.24933333333333332</v>
      </c>
      <c r="CH6" s="10">
        <v>0.60741406727928393</v>
      </c>
      <c r="CI6" s="29">
        <v>0.65707055993000107</v>
      </c>
      <c r="CJ6" s="3">
        <v>3256.3333333333335</v>
      </c>
      <c r="CK6" s="33">
        <v>3253.7333333333336</v>
      </c>
      <c r="CL6" s="3">
        <v>1449.9</v>
      </c>
      <c r="CM6" s="3">
        <v>1355.7</v>
      </c>
      <c r="CN6" s="2">
        <v>668.21</v>
      </c>
      <c r="CO6" s="3">
        <v>717.44999999999993</v>
      </c>
      <c r="CP6" s="2">
        <v>712.625</v>
      </c>
      <c r="CQ6" s="3">
        <v>877.47333333333336</v>
      </c>
      <c r="CR6" s="2">
        <v>908.06</v>
      </c>
      <c r="CS6" s="3">
        <v>1163.0333333333333</v>
      </c>
      <c r="CT6" s="2">
        <v>33.018000000000001</v>
      </c>
      <c r="CU6" s="3">
        <v>34.025999999999996</v>
      </c>
      <c r="CV6" s="2">
        <v>67.237500000000011</v>
      </c>
      <c r="CW6" s="3">
        <v>73.62733333333334</v>
      </c>
      <c r="CX6" s="2">
        <v>187.905</v>
      </c>
      <c r="CY6" s="3">
        <v>231.42333333333332</v>
      </c>
      <c r="CZ6" s="2">
        <v>221.08499999999998</v>
      </c>
      <c r="DA6" s="3">
        <v>1150.1766666666667</v>
      </c>
      <c r="DB6" s="2">
        <v>566.53</v>
      </c>
      <c r="DC6" s="11">
        <v>2175.2999999999997</v>
      </c>
      <c r="DD6" s="3">
        <v>1006.745</v>
      </c>
      <c r="DE6" s="11">
        <v>2009.2333333333333</v>
      </c>
      <c r="DF6" s="10">
        <v>1.0262316941398257</v>
      </c>
      <c r="DG6" s="37">
        <v>1.212977305696934</v>
      </c>
      <c r="DH6" s="3">
        <v>106.63966666666666</v>
      </c>
      <c r="DI6" s="33">
        <v>113.02466666666665</v>
      </c>
    </row>
    <row r="7" spans="1:114" s="6" customFormat="1" x14ac:dyDescent="0.2">
      <c r="A7" s="44">
        <v>5</v>
      </c>
      <c r="B7" s="3">
        <v>22.419999999999998</v>
      </c>
      <c r="C7" s="3">
        <v>21.47</v>
      </c>
      <c r="D7" s="2">
        <v>6.9666666666666659</v>
      </c>
      <c r="E7" s="3">
        <v>6.6733333333333329</v>
      </c>
      <c r="F7" s="2">
        <v>15.453333333333333</v>
      </c>
      <c r="G7" s="11">
        <v>14.796666666666667</v>
      </c>
      <c r="H7" s="3">
        <v>8.5377532228360966</v>
      </c>
      <c r="I7" s="11">
        <v>8.1749539594843466</v>
      </c>
      <c r="J7" s="3">
        <v>116.04733333333333</v>
      </c>
      <c r="K7" s="3">
        <v>115.02566666666667</v>
      </c>
      <c r="L7" s="2">
        <v>3700.4657576487334</v>
      </c>
      <c r="M7" s="3">
        <v>3716.471338625623</v>
      </c>
      <c r="N7" s="2">
        <v>230.91343110070969</v>
      </c>
      <c r="O7" s="3">
        <v>319.52448213393325</v>
      </c>
      <c r="P7" s="1">
        <v>90.776913369695805</v>
      </c>
      <c r="Q7" s="6">
        <v>170.47572129664275</v>
      </c>
      <c r="R7" s="1">
        <v>581.95533818398121</v>
      </c>
      <c r="S7" s="6">
        <v>200.62865008758675</v>
      </c>
      <c r="T7" s="1">
        <v>417.95331029228475</v>
      </c>
      <c r="U7" s="6">
        <v>578.33931266241893</v>
      </c>
      <c r="V7" s="1">
        <v>197.97069078745926</v>
      </c>
      <c r="W7" s="6">
        <v>308.56105554692346</v>
      </c>
      <c r="X7" s="1">
        <v>1093.7387173723948</v>
      </c>
      <c r="Y7" s="6">
        <v>363.13785665853175</v>
      </c>
      <c r="Z7" s="4">
        <v>433.42383658396506</v>
      </c>
      <c r="AA7" s="5">
        <v>454.61679136600884</v>
      </c>
      <c r="AB7" s="2">
        <v>31.360196508633418</v>
      </c>
      <c r="AC7" s="3">
        <v>30.950236443691761</v>
      </c>
      <c r="AD7" s="2">
        <v>12.6</v>
      </c>
      <c r="AE7" s="3">
        <v>13.3</v>
      </c>
      <c r="AF7" s="9">
        <v>2.2299333333333333</v>
      </c>
      <c r="AG7" s="5">
        <v>2.2465333333333333</v>
      </c>
      <c r="AH7" s="4">
        <v>0.25345256031260616</v>
      </c>
      <c r="AI7" s="5">
        <v>0.2572828080190282</v>
      </c>
      <c r="AJ7" s="2">
        <v>1695.5999999999997</v>
      </c>
      <c r="AK7" s="11">
        <v>1694.7</v>
      </c>
      <c r="AL7" s="3">
        <v>2898.7333333333336</v>
      </c>
      <c r="AM7" s="11">
        <v>2898.4666666666667</v>
      </c>
      <c r="AN7" s="3">
        <v>18595.666666666668</v>
      </c>
      <c r="AO7" s="11">
        <v>17877.333333333332</v>
      </c>
      <c r="AP7" s="3">
        <v>6564.0999999999995</v>
      </c>
      <c r="AQ7" s="11">
        <v>7200.3</v>
      </c>
      <c r="AR7" s="3">
        <v>462.50666666666666</v>
      </c>
      <c r="AS7" s="11">
        <v>468.02666666666664</v>
      </c>
      <c r="AT7" s="5">
        <v>0.22975333333333334</v>
      </c>
      <c r="AU7" s="8">
        <v>0.23529666666666668</v>
      </c>
      <c r="AV7" s="3">
        <v>7389.4417552407131</v>
      </c>
      <c r="AW7" s="11">
        <v>7206.8247515920957</v>
      </c>
      <c r="AX7" s="10">
        <v>0.39560506295402265</v>
      </c>
      <c r="AY7" s="29">
        <v>0.41838520664906986</v>
      </c>
      <c r="AZ7" s="5">
        <v>0.47499999999999992</v>
      </c>
      <c r="BA7" s="8">
        <v>0.48166666666666663</v>
      </c>
      <c r="BB7" s="5">
        <v>0.27667837874999995</v>
      </c>
      <c r="BC7" s="31">
        <v>0.28455907875000003</v>
      </c>
      <c r="BD7" s="5">
        <v>2.1962999999999999</v>
      </c>
      <c r="BE7" s="8">
        <v>2.0593500000000002</v>
      </c>
      <c r="BF7" s="5">
        <v>0.24585798623853211</v>
      </c>
      <c r="BG7" s="8">
        <v>0.21615310830784915</v>
      </c>
      <c r="BH7" s="3">
        <v>1548.3</v>
      </c>
      <c r="BI7" s="11">
        <v>1746</v>
      </c>
      <c r="BJ7" s="3">
        <v>2949.7</v>
      </c>
      <c r="BK7" s="11">
        <v>2897.75</v>
      </c>
      <c r="BL7" s="3">
        <v>11632</v>
      </c>
      <c r="BM7" s="11">
        <v>13017.5</v>
      </c>
      <c r="BN7" s="3">
        <v>4824.6000000000004</v>
      </c>
      <c r="BO7" s="11">
        <v>6390.1</v>
      </c>
      <c r="BP7" s="3">
        <v>3827.3</v>
      </c>
      <c r="BQ7" s="11">
        <v>2610.9499999999998</v>
      </c>
      <c r="BR7" s="3">
        <v>6020.8</v>
      </c>
      <c r="BS7" s="11">
        <v>5228.1000000000004</v>
      </c>
      <c r="BT7" s="3">
        <v>3412.4</v>
      </c>
      <c r="BU7" s="11">
        <v>1848.7</v>
      </c>
      <c r="BV7" s="5">
        <v>0.46199999999999997</v>
      </c>
      <c r="BW7" s="8">
        <v>0.44000000000000006</v>
      </c>
      <c r="BX7" s="5">
        <f t="shared" si="0"/>
        <v>1.0308900849236835</v>
      </c>
      <c r="BY7" s="8">
        <f t="shared" si="1"/>
        <v>1.1902803990799031</v>
      </c>
      <c r="BZ7" s="5">
        <v>0.26173570499999999</v>
      </c>
      <c r="CA7" s="31">
        <v>0.23742162000000008</v>
      </c>
      <c r="CB7" s="5">
        <v>0.44066666666666671</v>
      </c>
      <c r="CC7" s="8">
        <v>0.46200000000000002</v>
      </c>
      <c r="CD7" s="5">
        <v>0.23814347250000001</v>
      </c>
      <c r="CE7" s="8">
        <v>0.26175777750000001</v>
      </c>
      <c r="CF7" s="5">
        <v>0.20066666666666666</v>
      </c>
      <c r="CG7" s="8">
        <v>0.20933333333333334</v>
      </c>
      <c r="CH7" s="10">
        <v>1.1867947869318183</v>
      </c>
      <c r="CI7" s="29">
        <v>1.2510489967480578</v>
      </c>
      <c r="CJ7" s="3">
        <v>3352.2999999999997</v>
      </c>
      <c r="CK7" s="33">
        <v>3349.5333333333333</v>
      </c>
      <c r="CL7" s="3">
        <v>1730.7333333333333</v>
      </c>
      <c r="CM7" s="3">
        <v>1662.2666666666664</v>
      </c>
      <c r="CN7" s="2">
        <v>784.27666666666664</v>
      </c>
      <c r="CO7" s="3">
        <v>758.44333333333327</v>
      </c>
      <c r="CP7" s="2">
        <v>984.59</v>
      </c>
      <c r="CQ7" s="3">
        <v>939.13</v>
      </c>
      <c r="CR7" s="2">
        <v>1490.9333333333334</v>
      </c>
      <c r="CS7" s="3">
        <v>1265.4666666666667</v>
      </c>
      <c r="CT7" s="2">
        <v>36.665666666666667</v>
      </c>
      <c r="CU7" s="3">
        <v>34.826333333333338</v>
      </c>
      <c r="CV7" s="2">
        <v>81.100666666666669</v>
      </c>
      <c r="CW7" s="3">
        <v>77.707000000000008</v>
      </c>
      <c r="CX7" s="2">
        <v>257.43333333333334</v>
      </c>
      <c r="CY7" s="3">
        <v>234.09333333333333</v>
      </c>
      <c r="CZ7" s="2">
        <v>1481.79</v>
      </c>
      <c r="DA7" s="3">
        <v>1881.8666666666668</v>
      </c>
      <c r="DB7" s="2">
        <v>2735.9333333333329</v>
      </c>
      <c r="DC7" s="11">
        <v>2747.7666666666664</v>
      </c>
      <c r="DD7" s="3">
        <v>3123.1</v>
      </c>
      <c r="DE7" s="11">
        <v>2554.5666666666671</v>
      </c>
      <c r="DF7" s="10">
        <v>0.97970031971033456</v>
      </c>
      <c r="DG7" s="37">
        <v>1.019511510387423</v>
      </c>
      <c r="DH7" s="3">
        <v>173.13433333333333</v>
      </c>
      <c r="DI7" s="33">
        <v>190.43600000000001</v>
      </c>
    </row>
    <row r="8" spans="1:114" s="6" customFormat="1" x14ac:dyDescent="0.2">
      <c r="A8" s="44">
        <v>6</v>
      </c>
      <c r="B8" s="3">
        <v>19.0275</v>
      </c>
      <c r="C8" s="3">
        <v>18.71</v>
      </c>
      <c r="D8" s="2">
        <v>5.12</v>
      </c>
      <c r="E8" s="3">
        <v>6.1875</v>
      </c>
      <c r="F8" s="2">
        <v>13.907500000000001</v>
      </c>
      <c r="G8" s="11">
        <v>12.522499999999999</v>
      </c>
      <c r="H8" s="3">
        <v>8.0857558139534884</v>
      </c>
      <c r="I8" s="11">
        <v>7.2805232558139537</v>
      </c>
      <c r="J8" s="3">
        <v>118.80775</v>
      </c>
      <c r="K8" s="3">
        <v>113.59050000000001</v>
      </c>
      <c r="L8" s="2">
        <v>4713.7340772463313</v>
      </c>
      <c r="M8" s="3">
        <v>4317.6983975485027</v>
      </c>
      <c r="N8" s="2">
        <v>399.67787787521706</v>
      </c>
      <c r="O8" s="3">
        <v>413.12404953498805</v>
      </c>
      <c r="P8" s="1">
        <v>227.46093581186761</v>
      </c>
      <c r="Q8" s="6">
        <v>230.74935597364006</v>
      </c>
      <c r="R8" s="1">
        <v>417.36637964316662</v>
      </c>
      <c r="S8" s="6">
        <v>466.35402183085813</v>
      </c>
      <c r="T8" s="1">
        <v>687.44594994537329</v>
      </c>
      <c r="U8" s="6">
        <v>710.57336520017964</v>
      </c>
      <c r="V8" s="1">
        <v>391.23280959641215</v>
      </c>
      <c r="W8" s="6">
        <v>396.88889227466086</v>
      </c>
      <c r="X8" s="1">
        <v>717.87017298624642</v>
      </c>
      <c r="Y8" s="6">
        <v>802.12891754907582</v>
      </c>
      <c r="Z8" s="4">
        <v>582.9676514732115</v>
      </c>
      <c r="AA8" s="5">
        <v>593.0478134384847</v>
      </c>
      <c r="AB8" s="2">
        <v>25.204593227585104</v>
      </c>
      <c r="AC8" s="3">
        <v>26.308113615461025</v>
      </c>
      <c r="AD8" s="2">
        <v>14</v>
      </c>
      <c r="AE8" s="3">
        <v>16.3</v>
      </c>
      <c r="AF8" s="9">
        <v>2.1114666666666664</v>
      </c>
      <c r="AG8" s="5">
        <v>2.1747999999999998</v>
      </c>
      <c r="AH8" s="4">
        <v>0.22737798844716275</v>
      </c>
      <c r="AI8" s="5">
        <v>0.24107554570166498</v>
      </c>
      <c r="AJ8" s="2">
        <v>1197.9333333333334</v>
      </c>
      <c r="AK8" s="11">
        <v>1152.9333333333332</v>
      </c>
      <c r="AL8" s="3">
        <v>2195.0333333333333</v>
      </c>
      <c r="AM8" s="11">
        <v>2234.4333333333334</v>
      </c>
      <c r="AN8" s="3">
        <v>14191.666666666666</v>
      </c>
      <c r="AO8" s="11">
        <v>13020.666666666666</v>
      </c>
      <c r="AP8" s="3">
        <v>2411.8999999999996</v>
      </c>
      <c r="AQ8" s="11">
        <v>2178.5</v>
      </c>
      <c r="AR8" s="3">
        <v>325.40000000000003</v>
      </c>
      <c r="AS8" s="11">
        <v>335.24333333333334</v>
      </c>
      <c r="AT8" s="5">
        <v>0.19447999999999999</v>
      </c>
      <c r="AU8" s="8">
        <v>0.2200333333333333</v>
      </c>
      <c r="AV8" s="3">
        <v>6324.8064933791902</v>
      </c>
      <c r="AW8" s="11">
        <v>5269.2819132145205</v>
      </c>
      <c r="AX8" s="10">
        <v>0.30040850474662117</v>
      </c>
      <c r="AY8" s="29">
        <v>0.30769651866012254</v>
      </c>
      <c r="AZ8" s="5">
        <v>0.43433333333333352</v>
      </c>
      <c r="BA8" s="8">
        <v>0.44666666666666677</v>
      </c>
      <c r="BB8" s="5">
        <v>0.23151150375000026</v>
      </c>
      <c r="BC8" s="31">
        <v>0.24466385250000011</v>
      </c>
      <c r="BD8" s="5">
        <v>2.1777333333333333</v>
      </c>
      <c r="BE8" s="8">
        <v>2.1592666666666669</v>
      </c>
      <c r="BF8" s="5">
        <v>0.24182308698606861</v>
      </c>
      <c r="BG8" s="8">
        <v>0.23766682534828401</v>
      </c>
      <c r="BH8" s="3">
        <v>1100.9000000000001</v>
      </c>
      <c r="BI8" s="11">
        <v>1192.8666666666668</v>
      </c>
      <c r="BJ8" s="3">
        <v>2142.833333333333</v>
      </c>
      <c r="BK8" s="11">
        <v>2270.8666666666663</v>
      </c>
      <c r="BL8" s="3">
        <v>6243.5333333333328</v>
      </c>
      <c r="BM8" s="11">
        <v>7979.5</v>
      </c>
      <c r="BN8" s="3">
        <v>1889.1666666666667</v>
      </c>
      <c r="BO8" s="11">
        <v>2689.9999999999995</v>
      </c>
      <c r="BP8" s="3">
        <v>653.76666666666665</v>
      </c>
      <c r="BQ8" s="11">
        <v>851.23333333333323</v>
      </c>
      <c r="BR8" s="3">
        <v>1435.2</v>
      </c>
      <c r="BS8" s="11">
        <v>2035.3666666666668</v>
      </c>
      <c r="BT8" s="3">
        <v>1689.3666666666668</v>
      </c>
      <c r="BU8" s="11">
        <v>2683.9</v>
      </c>
      <c r="BV8" s="5">
        <v>0.44500000000000023</v>
      </c>
      <c r="BW8" s="8">
        <v>0.43433333333333324</v>
      </c>
      <c r="BX8" s="5">
        <f t="shared" si="0"/>
        <v>0.94026584178152506</v>
      </c>
      <c r="BY8" s="8">
        <f t="shared" si="1"/>
        <v>1.0143424323036492</v>
      </c>
      <c r="BZ8" s="5">
        <v>0.24289273875000025</v>
      </c>
      <c r="CA8" s="31">
        <v>0.23133001874999992</v>
      </c>
      <c r="CB8" s="5">
        <v>0.41933333333333334</v>
      </c>
      <c r="CC8" s="8">
        <v>0.39700000000000002</v>
      </c>
      <c r="CD8" s="5">
        <v>0.21577667249999999</v>
      </c>
      <c r="CE8" s="8">
        <v>0.19359503624999999</v>
      </c>
      <c r="CF8" s="5">
        <v>0.19999999999999998</v>
      </c>
      <c r="CG8" s="8">
        <v>0.18499999999999997</v>
      </c>
      <c r="CH8" s="10">
        <v>1.0784629777969426</v>
      </c>
      <c r="CI8" s="29">
        <v>1.0448548972192941</v>
      </c>
      <c r="CJ8" s="3">
        <v>2501.4</v>
      </c>
      <c r="CK8" s="33">
        <v>2542.9</v>
      </c>
      <c r="CL8" s="3">
        <v>1580.25</v>
      </c>
      <c r="CM8" s="3">
        <v>1562.5666666666666</v>
      </c>
      <c r="CN8" s="2">
        <v>625.65499999999997</v>
      </c>
      <c r="CO8" s="3">
        <v>589.79666666666662</v>
      </c>
      <c r="CP8" s="2">
        <v>846.74</v>
      </c>
      <c r="CQ8" s="3">
        <v>841.80666666666673</v>
      </c>
      <c r="CR8" s="2">
        <v>1498.3</v>
      </c>
      <c r="CS8" s="3">
        <v>1464.7666666666667</v>
      </c>
      <c r="CT8" s="2">
        <v>26.420999999999999</v>
      </c>
      <c r="CU8" s="3">
        <v>24.969666666666669</v>
      </c>
      <c r="CV8" s="2">
        <v>64.539500000000004</v>
      </c>
      <c r="CW8" s="3">
        <v>61.872333333333337</v>
      </c>
      <c r="CX8" s="2">
        <v>252.78500000000003</v>
      </c>
      <c r="CY8" s="3">
        <v>241.59666666666666</v>
      </c>
      <c r="CZ8" s="2">
        <v>2858.35</v>
      </c>
      <c r="DA8" s="3">
        <v>2426.6666666666665</v>
      </c>
      <c r="DB8" s="2">
        <v>3640</v>
      </c>
      <c r="DC8" s="11">
        <v>3733.4333333333329</v>
      </c>
      <c r="DD8" s="3">
        <v>4008.75</v>
      </c>
      <c r="DE8" s="11">
        <v>3973.2000000000003</v>
      </c>
      <c r="DF8" s="10">
        <v>0.75806570690291619</v>
      </c>
      <c r="DG8" s="37">
        <v>0.73784585191031837</v>
      </c>
      <c r="DH8" s="3">
        <v>114.54766666666667</v>
      </c>
      <c r="DI8" s="33">
        <v>117.24966666666667</v>
      </c>
    </row>
    <row r="9" spans="1:114" s="6" customFormat="1" x14ac:dyDescent="0.2">
      <c r="A9" s="44">
        <v>7</v>
      </c>
      <c r="B9" s="3">
        <v>15.1</v>
      </c>
      <c r="C9" s="3">
        <v>19.790000000000003</v>
      </c>
      <c r="D9" s="2">
        <v>6.666666666666667</v>
      </c>
      <c r="E9" s="3">
        <v>5.75</v>
      </c>
      <c r="F9" s="2">
        <v>8.4333333333333336</v>
      </c>
      <c r="G9" s="11">
        <v>14.04</v>
      </c>
      <c r="H9" s="3">
        <v>4.5098039215686283</v>
      </c>
      <c r="I9" s="11">
        <v>7.5080213903743305</v>
      </c>
      <c r="J9" s="3">
        <v>148.18199999999999</v>
      </c>
      <c r="K9" s="3">
        <v>154.29399999999998</v>
      </c>
      <c r="L9" s="2">
        <v>5313.3308519573438</v>
      </c>
      <c r="M9" s="3">
        <v>5987.305879689</v>
      </c>
      <c r="N9" s="2">
        <v>805.70507193073661</v>
      </c>
      <c r="O9" s="3">
        <v>330.75140309048203</v>
      </c>
      <c r="P9" s="1">
        <v>402.04024054558482</v>
      </c>
      <c r="Q9" s="6">
        <v>251.44066101815554</v>
      </c>
      <c r="R9" s="1">
        <v>766.12875095602988</v>
      </c>
      <c r="S9" s="6">
        <v>461.21484336526731</v>
      </c>
      <c r="T9" s="1">
        <v>1506.6684845104783</v>
      </c>
      <c r="U9" s="6">
        <v>618.5051237792012</v>
      </c>
      <c r="V9" s="1">
        <v>751.81524982024382</v>
      </c>
      <c r="W9" s="6">
        <v>470.19403610395113</v>
      </c>
      <c r="X9" s="1">
        <v>1432.6607642877759</v>
      </c>
      <c r="Y9" s="6">
        <v>862.47175709304952</v>
      </c>
      <c r="Z9" s="4">
        <v>1178.1733628253239</v>
      </c>
      <c r="AA9" s="5">
        <v>797.45455804974586</v>
      </c>
      <c r="AB9" s="2">
        <v>27.888720677992822</v>
      </c>
      <c r="AC9" s="3">
        <v>25.770188311811211</v>
      </c>
      <c r="AD9" s="2">
        <v>13.6</v>
      </c>
      <c r="AE9" s="3">
        <v>11.9</v>
      </c>
      <c r="AF9" s="9">
        <v>2.0439000000000003</v>
      </c>
      <c r="AG9" s="5">
        <v>2.1210666666666667</v>
      </c>
      <c r="AH9" s="4">
        <v>0.21297867261297998</v>
      </c>
      <c r="AI9" s="5">
        <v>0.22931334590553856</v>
      </c>
      <c r="AJ9" s="2">
        <v>1446.4333333333334</v>
      </c>
      <c r="AK9" s="11">
        <v>1429.7</v>
      </c>
      <c r="AL9" s="3">
        <v>2489.3666666666663</v>
      </c>
      <c r="AM9" s="11">
        <v>2526.6333333333332</v>
      </c>
      <c r="AN9" s="3">
        <v>10241.300000000001</v>
      </c>
      <c r="AO9" s="11">
        <v>10245.166666666666</v>
      </c>
      <c r="AP9" s="3">
        <v>3747.5666666666671</v>
      </c>
      <c r="AQ9" s="11">
        <v>3610.6333333333332</v>
      </c>
      <c r="AR9" s="3">
        <v>564.68999999999994</v>
      </c>
      <c r="AS9" s="11">
        <v>563.59666666666669</v>
      </c>
      <c r="AT9" s="5">
        <v>0.34895666666666664</v>
      </c>
      <c r="AU9" s="8">
        <v>0.35183000000000003</v>
      </c>
      <c r="AV9" s="3">
        <v>4185.8574462030519</v>
      </c>
      <c r="AW9" s="11">
        <v>4065.4197574122068</v>
      </c>
      <c r="AX9" s="10">
        <v>0.21830031713442014</v>
      </c>
      <c r="AY9" s="29">
        <v>0.22819426744983443</v>
      </c>
      <c r="AZ9" s="5">
        <v>0.42399999999999993</v>
      </c>
      <c r="BA9" s="8">
        <v>0.44066666666666671</v>
      </c>
      <c r="BB9" s="5">
        <v>0.22048547249999995</v>
      </c>
      <c r="BC9" s="31">
        <v>0.23814347250000004</v>
      </c>
      <c r="BD9" s="5">
        <v>2.1247999999999996</v>
      </c>
      <c r="BE9" s="8">
        <v>2.1380999999999997</v>
      </c>
      <c r="BF9" s="5">
        <v>0.23012440010193674</v>
      </c>
      <c r="BG9" s="8">
        <v>0.23300687155963301</v>
      </c>
      <c r="BH9" s="3">
        <v>1343.05</v>
      </c>
      <c r="BI9" s="11">
        <v>1300.3</v>
      </c>
      <c r="BJ9" s="3">
        <v>2690.75</v>
      </c>
      <c r="BK9" s="11">
        <v>2608.1000000000004</v>
      </c>
      <c r="BL9" s="3">
        <v>6969.7999999999993</v>
      </c>
      <c r="BM9" s="11">
        <v>6902.6</v>
      </c>
      <c r="BN9" s="3">
        <v>1800.3</v>
      </c>
      <c r="BO9" s="11">
        <v>1776.5500000000002</v>
      </c>
      <c r="BP9" s="3">
        <v>995.2650000000001</v>
      </c>
      <c r="BQ9" s="11">
        <v>1534.75</v>
      </c>
      <c r="BR9" s="3">
        <v>1905.65</v>
      </c>
      <c r="BS9" s="11">
        <v>2320.6499999999996</v>
      </c>
      <c r="BT9" s="3">
        <v>1963.05</v>
      </c>
      <c r="BU9" s="11">
        <v>2045.9499999999998</v>
      </c>
      <c r="BV9" s="5">
        <v>0.43100000000000016</v>
      </c>
      <c r="BW9" s="8">
        <v>0.43600000000000005</v>
      </c>
      <c r="BX9" s="5">
        <f t="shared" si="0"/>
        <v>0.92549365699003738</v>
      </c>
      <c r="BY9" s="8">
        <f t="shared" si="1"/>
        <v>0.98414842605554154</v>
      </c>
      <c r="BZ9" s="5">
        <v>0.22778942625000018</v>
      </c>
      <c r="CA9" s="31">
        <v>0.2331064462500001</v>
      </c>
      <c r="CB9" s="5">
        <v>0.39133333333333331</v>
      </c>
      <c r="CC9" s="8">
        <v>0.39799999999999996</v>
      </c>
      <c r="CD9" s="5">
        <v>0.18782634750000002</v>
      </c>
      <c r="CE9" s="8">
        <v>0.19429522499999999</v>
      </c>
      <c r="CF9" s="5">
        <v>0.19733333333333336</v>
      </c>
      <c r="CG9" s="8">
        <v>0.218</v>
      </c>
      <c r="CH9" s="10">
        <v>0.95196721966214926</v>
      </c>
      <c r="CI9" s="29">
        <v>0.89498576807108277</v>
      </c>
      <c r="CJ9" s="3">
        <v>4502.7</v>
      </c>
      <c r="CK9" s="33">
        <v>4048.9666666666667</v>
      </c>
      <c r="CL9" s="3">
        <v>1908.3</v>
      </c>
      <c r="CM9" s="3">
        <v>1787</v>
      </c>
      <c r="CN9" s="2">
        <v>812.75</v>
      </c>
      <c r="CO9" s="3">
        <v>869.07</v>
      </c>
      <c r="CP9" s="2">
        <v>894.87</v>
      </c>
      <c r="CQ9" s="3">
        <v>1044.8</v>
      </c>
      <c r="CR9" s="2">
        <v>1582.6</v>
      </c>
      <c r="CS9" s="3">
        <v>1474.3</v>
      </c>
      <c r="CT9" s="2">
        <v>39.628</v>
      </c>
      <c r="CU9" s="3">
        <v>38.154000000000003</v>
      </c>
      <c r="CV9" s="2">
        <v>81.953999999999994</v>
      </c>
      <c r="CW9" s="3">
        <v>86.924999999999997</v>
      </c>
      <c r="CX9" s="2">
        <v>267.14999999999998</v>
      </c>
      <c r="CY9" s="3">
        <v>269.26</v>
      </c>
      <c r="CZ9" s="2">
        <v>836.96</v>
      </c>
      <c r="DA9" s="3">
        <v>3497.9</v>
      </c>
      <c r="DB9" s="2">
        <v>1239.7</v>
      </c>
      <c r="DC9" s="11">
        <v>3505.8</v>
      </c>
      <c r="DD9" s="3">
        <v>3245.8</v>
      </c>
      <c r="DE9" s="11">
        <v>3120.5</v>
      </c>
      <c r="DF9" s="10">
        <v>0.75796957152089994</v>
      </c>
      <c r="DG9" s="37">
        <v>0.80005595970900956</v>
      </c>
      <c r="DH9" s="16"/>
      <c r="DI9" s="40"/>
    </row>
    <row r="10" spans="1:114" s="6" customFormat="1" x14ac:dyDescent="0.2">
      <c r="A10" s="44">
        <v>8</v>
      </c>
      <c r="B10" s="3">
        <v>23.115000000000002</v>
      </c>
      <c r="C10" s="3">
        <v>25.47</v>
      </c>
      <c r="D10" s="2">
        <v>5.4275000000000002</v>
      </c>
      <c r="E10" s="3">
        <v>6.02</v>
      </c>
      <c r="F10" s="2">
        <v>17.6875</v>
      </c>
      <c r="G10" s="11">
        <v>19.45</v>
      </c>
      <c r="H10" s="3">
        <v>9.6917808219178099</v>
      </c>
      <c r="I10" s="11">
        <v>10.657534246575342</v>
      </c>
      <c r="J10" s="3">
        <v>121.61975000000001</v>
      </c>
      <c r="K10" s="3">
        <v>119.53274999999999</v>
      </c>
      <c r="L10" s="2">
        <v>5156.6037900525534</v>
      </c>
      <c r="M10" s="3">
        <v>5110.6513006724344</v>
      </c>
      <c r="N10" s="2">
        <v>233.21625197757569</v>
      </c>
      <c r="O10" s="3">
        <v>226.05617708249741</v>
      </c>
      <c r="P10" s="1">
        <v>138.58520410329501</v>
      </c>
      <c r="Q10" s="6">
        <v>162.28170808402729</v>
      </c>
      <c r="R10" s="1">
        <v>468.63328985512032</v>
      </c>
      <c r="S10" s="6">
        <v>1050.813728558551</v>
      </c>
      <c r="T10" s="1">
        <v>425.61965985907563</v>
      </c>
      <c r="U10" s="6">
        <v>412.55252317555772</v>
      </c>
      <c r="V10" s="1">
        <v>235.21649082389899</v>
      </c>
      <c r="W10" s="6">
        <v>296.16411725334984</v>
      </c>
      <c r="X10" s="1">
        <v>855.25575398559431</v>
      </c>
      <c r="Y10" s="6">
        <v>419.61422180038613</v>
      </c>
      <c r="Z10" s="4">
        <v>532.05947233051074</v>
      </c>
      <c r="AA10" s="5">
        <v>479.53411947183514</v>
      </c>
      <c r="AB10" s="2">
        <v>23.585242332291056</v>
      </c>
      <c r="AC10" s="3">
        <v>23.388946529040727</v>
      </c>
      <c r="AD10" s="2">
        <v>16.600000000000001</v>
      </c>
      <c r="AE10" s="3">
        <v>15.7</v>
      </c>
      <c r="AF10" s="9">
        <v>1.9267666666666665</v>
      </c>
      <c r="AG10" s="5">
        <v>1.9215999999999998</v>
      </c>
      <c r="AH10" s="4">
        <v>0.18926860499490314</v>
      </c>
      <c r="AI10" s="5">
        <v>0.18825623547400608</v>
      </c>
      <c r="AJ10" s="2">
        <v>1150.3000000000002</v>
      </c>
      <c r="AK10" s="11">
        <v>1269.7</v>
      </c>
      <c r="AL10" s="3">
        <v>1990.3666666666668</v>
      </c>
      <c r="AM10" s="11">
        <v>2040.9666666666665</v>
      </c>
      <c r="AN10" s="3">
        <v>9194.1333333333332</v>
      </c>
      <c r="AO10" s="11">
        <v>12041</v>
      </c>
      <c r="AP10" s="3">
        <v>3996.5666666666671</v>
      </c>
      <c r="AQ10" s="11">
        <v>6212.6333333333341</v>
      </c>
      <c r="AR10" s="3">
        <v>564.34333333333325</v>
      </c>
      <c r="AS10" s="11">
        <v>371.74</v>
      </c>
      <c r="AT10" s="5">
        <v>0.23754</v>
      </c>
      <c r="AU10" s="8">
        <v>0.21456</v>
      </c>
      <c r="AV10" s="3">
        <v>4863.4437832458516</v>
      </c>
      <c r="AW10" s="11">
        <v>5987.3869059224417</v>
      </c>
      <c r="AX10" s="10">
        <v>0.29235248438315664</v>
      </c>
      <c r="AY10" s="29">
        <v>0.36421603194820157</v>
      </c>
      <c r="AZ10" s="5">
        <v>0.43666666666666659</v>
      </c>
      <c r="BA10" s="8">
        <v>0.45500000000000002</v>
      </c>
      <c r="BB10" s="5">
        <v>0.23382707249999998</v>
      </c>
      <c r="BC10" s="31">
        <v>0.25390446375000003</v>
      </c>
      <c r="BD10" s="5">
        <v>1.8835</v>
      </c>
      <c r="BE10" s="8">
        <v>1.8617999999999999</v>
      </c>
      <c r="BF10" s="5">
        <v>0.18081408002038735</v>
      </c>
      <c r="BG10" s="8">
        <v>0.17668956608902478</v>
      </c>
      <c r="BH10" s="3">
        <v>1151.8</v>
      </c>
      <c r="BI10" s="11">
        <v>1250.4333333333334</v>
      </c>
      <c r="BJ10" s="3">
        <v>1957.4</v>
      </c>
      <c r="BK10" s="11">
        <v>2010.4333333333334</v>
      </c>
      <c r="BL10" s="3">
        <v>6755.8</v>
      </c>
      <c r="BM10" s="11">
        <v>8545.5666666666675</v>
      </c>
      <c r="BN10" s="3">
        <v>2308.6</v>
      </c>
      <c r="BO10" s="11">
        <v>3963.5333333333333</v>
      </c>
      <c r="BP10" s="3">
        <v>2401.5</v>
      </c>
      <c r="BQ10" s="11">
        <v>2223.8333333333335</v>
      </c>
      <c r="BR10" s="3">
        <v>3293.6</v>
      </c>
      <c r="BS10" s="11">
        <v>5517.3</v>
      </c>
      <c r="BT10" s="3">
        <v>2370</v>
      </c>
      <c r="BU10" s="11">
        <v>1379.9599999999998</v>
      </c>
      <c r="BV10" s="5">
        <v>0.42399999999999993</v>
      </c>
      <c r="BW10" s="8">
        <v>0.41633333333333339</v>
      </c>
      <c r="BX10" s="5">
        <f t="shared" si="0"/>
        <v>1.0467581118326765</v>
      </c>
      <c r="BY10" s="8">
        <f t="shared" si="1"/>
        <v>1.0654632281973766</v>
      </c>
      <c r="BZ10" s="5">
        <v>0.22784951249999996</v>
      </c>
      <c r="CA10" s="31">
        <v>0.21263297625000002</v>
      </c>
      <c r="CB10" s="5">
        <v>0.40066666666666667</v>
      </c>
      <c r="CC10" s="8">
        <v>0.42199999999999999</v>
      </c>
      <c r="CD10" s="5">
        <v>0.19689732750000002</v>
      </c>
      <c r="CE10" s="8">
        <v>0.21845153250000002</v>
      </c>
      <c r="CF10" s="5">
        <v>0.24533333333333332</v>
      </c>
      <c r="CG10" s="8">
        <v>0.224</v>
      </c>
      <c r="CH10" s="10">
        <v>0.86168387318841988</v>
      </c>
      <c r="CI10" s="29">
        <v>0.97508099024157968</v>
      </c>
      <c r="CJ10" s="3">
        <v>2932.1</v>
      </c>
      <c r="CK10" s="33">
        <v>3044.8333333333335</v>
      </c>
      <c r="CL10" s="3">
        <v>1464.95</v>
      </c>
      <c r="CM10" s="3">
        <v>1424.0333333333335</v>
      </c>
      <c r="CN10" s="2">
        <v>634.32500000000005</v>
      </c>
      <c r="CO10" s="3">
        <v>644.71</v>
      </c>
      <c r="CP10" s="2">
        <v>1093.2950000000001</v>
      </c>
      <c r="CQ10" s="3">
        <v>851.31666666666672</v>
      </c>
      <c r="CR10" s="2">
        <v>1139.2649999999999</v>
      </c>
      <c r="CS10" s="3">
        <v>1385.2</v>
      </c>
      <c r="CT10" s="2">
        <v>30.258499999999998</v>
      </c>
      <c r="CU10" s="3">
        <v>29.767333333333337</v>
      </c>
      <c r="CV10" s="2">
        <v>66.235500000000002</v>
      </c>
      <c r="CW10" s="3">
        <v>66.86399999999999</v>
      </c>
      <c r="CX10" s="2">
        <v>152.44499999999999</v>
      </c>
      <c r="CY10" s="3">
        <v>237.71</v>
      </c>
      <c r="CZ10" s="2">
        <v>884.33999999999992</v>
      </c>
      <c r="DA10" s="3">
        <v>1571.2</v>
      </c>
      <c r="DB10" s="2">
        <v>2594.6000000000004</v>
      </c>
      <c r="DC10" s="11">
        <v>2851.7333333333336</v>
      </c>
      <c r="DD10" s="3">
        <v>3112.2</v>
      </c>
      <c r="DE10" s="11">
        <v>3276.2666666666669</v>
      </c>
      <c r="DF10" s="10">
        <v>0.85529654026872359</v>
      </c>
      <c r="DG10" s="37">
        <v>0.8916223871164064</v>
      </c>
      <c r="DH10" s="3">
        <v>88.5</v>
      </c>
      <c r="DI10" s="33">
        <v>103.36866666666667</v>
      </c>
    </row>
    <row r="11" spans="1:114" s="6" customFormat="1" x14ac:dyDescent="0.2">
      <c r="A11" s="44">
        <v>9</v>
      </c>
      <c r="B11" s="3">
        <v>14.692499999999999</v>
      </c>
      <c r="C11" s="3">
        <v>15.51</v>
      </c>
      <c r="D11" s="2">
        <v>5.6099999999999994</v>
      </c>
      <c r="E11" s="3">
        <v>4.25</v>
      </c>
      <c r="F11" s="2">
        <v>9.0824999999999996</v>
      </c>
      <c r="G11" s="11">
        <v>11.26</v>
      </c>
      <c r="H11" s="3">
        <v>4.8830645161290329</v>
      </c>
      <c r="I11" s="11">
        <v>6.053763440860215</v>
      </c>
      <c r="J11" s="3">
        <v>121.0705</v>
      </c>
      <c r="K11" s="3">
        <v>131.40700000000001</v>
      </c>
      <c r="L11" s="2">
        <v>3549.7768857813517</v>
      </c>
      <c r="M11" s="3">
        <v>4136.1148251939785</v>
      </c>
      <c r="N11" s="2">
        <v>545.83546774008767</v>
      </c>
      <c r="O11" s="3">
        <v>384.62743412465284</v>
      </c>
      <c r="P11" s="1">
        <v>330.28929863592771</v>
      </c>
      <c r="Q11" s="6">
        <v>206.94663935239777</v>
      </c>
      <c r="R11" s="1">
        <v>695.27220210034704</v>
      </c>
      <c r="S11" s="6">
        <v>494.57566241370625</v>
      </c>
      <c r="T11" s="1">
        <v>1015.2539699965629</v>
      </c>
      <c r="U11" s="6">
        <v>715.40702747185435</v>
      </c>
      <c r="V11" s="1">
        <v>614.33809546282589</v>
      </c>
      <c r="W11" s="6">
        <v>384.92074919545985</v>
      </c>
      <c r="X11" s="1">
        <v>1293.2062959066445</v>
      </c>
      <c r="Y11" s="6">
        <v>919.91073208949388</v>
      </c>
      <c r="Z11" s="4">
        <v>726.95678585778285</v>
      </c>
      <c r="AA11" s="5">
        <v>683.23033524518655</v>
      </c>
      <c r="AB11" s="2">
        <v>34.106509759796019</v>
      </c>
      <c r="AC11" s="3">
        <v>31.770636346837207</v>
      </c>
      <c r="AD11" s="2">
        <v>9</v>
      </c>
      <c r="AE11" s="3">
        <v>8.9</v>
      </c>
      <c r="AF11" s="9">
        <v>2.0076999999999998</v>
      </c>
      <c r="AG11" s="5">
        <v>1.9572666666666667</v>
      </c>
      <c r="AH11" s="4">
        <v>0.20558273071695546</v>
      </c>
      <c r="AI11" s="5">
        <v>0.19526105912334354</v>
      </c>
      <c r="AJ11" s="2">
        <v>1251.9666666666665</v>
      </c>
      <c r="AK11" s="11">
        <v>1172</v>
      </c>
      <c r="AL11" s="3">
        <v>2180.6666666666665</v>
      </c>
      <c r="AM11" s="11">
        <v>2100.7666666666664</v>
      </c>
      <c r="AN11" s="3">
        <v>11167</v>
      </c>
      <c r="AO11" s="11">
        <v>8972.3000000000011</v>
      </c>
      <c r="AP11" s="3">
        <v>3148.8666666666668</v>
      </c>
      <c r="AQ11" s="11">
        <v>3005.1333333333332</v>
      </c>
      <c r="AR11" s="3">
        <v>453.42666666666668</v>
      </c>
      <c r="AS11" s="11">
        <v>476.99333333333334</v>
      </c>
      <c r="AT11" s="5">
        <v>0.26586333333333334</v>
      </c>
      <c r="AU11" s="8">
        <v>0.27990333333333334</v>
      </c>
      <c r="AV11" s="3">
        <v>4797.6107616565087</v>
      </c>
      <c r="AW11" s="11">
        <v>4192.3452854074594</v>
      </c>
      <c r="AX11" s="10">
        <v>0.3162827626830359</v>
      </c>
      <c r="AY11" s="29">
        <v>0.27249204479474559</v>
      </c>
      <c r="AZ11" s="5">
        <v>0.45500000000000007</v>
      </c>
      <c r="BA11" s="8">
        <v>0.45899999999999991</v>
      </c>
      <c r="BB11" s="5">
        <v>0.25388647875000009</v>
      </c>
      <c r="BC11" s="31">
        <v>0.25834839374999991</v>
      </c>
      <c r="BD11" s="5">
        <v>1.8738333333333335</v>
      </c>
      <c r="BE11" s="8">
        <v>1.8037666666666665</v>
      </c>
      <c r="BF11" s="5">
        <v>0.17900266955487598</v>
      </c>
      <c r="BG11" s="8">
        <v>0.16586841335372068</v>
      </c>
      <c r="BH11" s="3">
        <v>1204.4666666666665</v>
      </c>
      <c r="BI11" s="11">
        <v>1175.8333333333333</v>
      </c>
      <c r="BJ11" s="3">
        <v>2061.6999999999998</v>
      </c>
      <c r="BK11" s="11">
        <v>1968.8666666666668</v>
      </c>
      <c r="BL11" s="3">
        <v>6118.9666666666672</v>
      </c>
      <c r="BM11" s="11">
        <v>5930.3999999999987</v>
      </c>
      <c r="BN11" s="3">
        <v>1980.4000000000003</v>
      </c>
      <c r="BO11" s="11">
        <v>1900</v>
      </c>
      <c r="BP11" s="3">
        <v>1315.3366666666666</v>
      </c>
      <c r="BQ11" s="11">
        <v>1043.5366666666666</v>
      </c>
      <c r="BR11" s="3">
        <v>1828.07</v>
      </c>
      <c r="BS11" s="11">
        <v>1848.8466666666666</v>
      </c>
      <c r="BT11" s="3">
        <v>2036.4333333333332</v>
      </c>
      <c r="BU11" s="11">
        <v>1973.2333333333333</v>
      </c>
      <c r="BV11" s="5">
        <v>0.4346666666666667</v>
      </c>
      <c r="BW11" s="8">
        <v>0.42799999999999977</v>
      </c>
      <c r="BX11" s="5">
        <f t="shared" si="0"/>
        <v>1.1484897472656459</v>
      </c>
      <c r="BY11" s="8">
        <f t="shared" si="1"/>
        <v>1.1772045995697922</v>
      </c>
      <c r="BZ11" s="5">
        <v>0.23169503250000004</v>
      </c>
      <c r="CA11" s="31">
        <v>0.22463264999999979</v>
      </c>
      <c r="CB11" s="5">
        <v>0.44733333333333336</v>
      </c>
      <c r="CC11" s="8">
        <v>0.45500000000000002</v>
      </c>
      <c r="CD11" s="5">
        <v>0.24563504250000001</v>
      </c>
      <c r="CE11" s="8">
        <v>0.25389628875000003</v>
      </c>
      <c r="CF11" s="5">
        <v>0.219</v>
      </c>
      <c r="CG11" s="8">
        <v>0.221</v>
      </c>
      <c r="CH11" s="10">
        <v>1.1318511446775561</v>
      </c>
      <c r="CI11" s="29">
        <v>1.1534181180507204</v>
      </c>
      <c r="CJ11" s="3">
        <v>3286.1999999999994</v>
      </c>
      <c r="CK11" s="33">
        <v>3055.9666666666672</v>
      </c>
      <c r="CL11" s="16"/>
      <c r="CM11" s="16"/>
      <c r="CN11" s="17"/>
      <c r="CO11" s="16"/>
      <c r="CP11" s="17"/>
      <c r="CQ11" s="16"/>
      <c r="CR11" s="17"/>
      <c r="CS11" s="16"/>
      <c r="CT11" s="17"/>
      <c r="CU11" s="16"/>
      <c r="CV11" s="17"/>
      <c r="CW11" s="16"/>
      <c r="CX11" s="17"/>
      <c r="CY11" s="16"/>
      <c r="CZ11" s="17"/>
      <c r="DA11" s="16"/>
      <c r="DB11" s="17"/>
      <c r="DC11" s="35"/>
      <c r="DD11" s="16"/>
      <c r="DE11" s="35"/>
      <c r="DF11" s="18"/>
      <c r="DG11" s="38"/>
      <c r="DH11" s="3">
        <v>153.99933333333331</v>
      </c>
      <c r="DI11" s="33">
        <v>160.84299999999999</v>
      </c>
    </row>
    <row r="12" spans="1:114" s="6" customFormat="1" x14ac:dyDescent="0.2">
      <c r="A12" s="44">
        <v>10</v>
      </c>
      <c r="B12" s="3">
        <v>17.93</v>
      </c>
      <c r="C12" s="3">
        <v>15.796666666666667</v>
      </c>
      <c r="D12" s="2">
        <v>5.8824999999999994</v>
      </c>
      <c r="E12" s="3">
        <v>5.6833333333333336</v>
      </c>
      <c r="F12" s="2">
        <v>12.047500000000001</v>
      </c>
      <c r="G12" s="11">
        <v>10.113333333333332</v>
      </c>
      <c r="H12" s="3">
        <v>5.0619747899159666</v>
      </c>
      <c r="I12" s="11">
        <v>4.2492997198879552</v>
      </c>
      <c r="J12" s="3">
        <v>157.35550000000001</v>
      </c>
      <c r="K12" s="3">
        <v>163.279</v>
      </c>
      <c r="L12" s="2">
        <v>5230.9116329473936</v>
      </c>
      <c r="M12" s="3">
        <v>5100.9514256723151</v>
      </c>
      <c r="N12" s="2">
        <v>245.52342292354575</v>
      </c>
      <c r="O12" s="3">
        <v>218.26443021604393</v>
      </c>
      <c r="P12" s="1">
        <v>133.92337035793747</v>
      </c>
      <c r="Q12" s="6">
        <v>137.72957420518364</v>
      </c>
      <c r="R12" s="1">
        <v>-47.702261670870129</v>
      </c>
      <c r="S12" s="6">
        <v>-419.70445198789912</v>
      </c>
      <c r="T12" s="1">
        <v>584.34574655803885</v>
      </c>
      <c r="U12" s="6">
        <v>519.46934391418461</v>
      </c>
      <c r="V12" s="1">
        <v>318.73762145189113</v>
      </c>
      <c r="W12" s="6">
        <v>327.79638660833712</v>
      </c>
      <c r="X12" s="1">
        <v>-113.53138277667112</v>
      </c>
      <c r="Y12" s="6">
        <v>-998.8965957311998</v>
      </c>
      <c r="Z12" s="4">
        <v>1033.3737029603483</v>
      </c>
      <c r="AA12" s="5">
        <v>1200.4216604911117</v>
      </c>
      <c r="AB12" s="2">
        <v>30.081850170987682</v>
      </c>
      <c r="AC12" s="3">
        <v>32.009518690619466</v>
      </c>
      <c r="AD12" s="2">
        <v>11.2</v>
      </c>
      <c r="AE12" s="3">
        <v>10.9</v>
      </c>
      <c r="AF12" s="9">
        <v>2.1980333333333331</v>
      </c>
      <c r="AG12" s="5">
        <v>2.1303999999999998</v>
      </c>
      <c r="AH12" s="4">
        <v>0.24624634879374788</v>
      </c>
      <c r="AI12" s="5">
        <v>0.23137206422018344</v>
      </c>
      <c r="AJ12" s="2">
        <v>1518.4666666666665</v>
      </c>
      <c r="AK12" s="11">
        <v>1458.7</v>
      </c>
      <c r="AL12" s="3">
        <v>2567.4333333333334</v>
      </c>
      <c r="AM12" s="11">
        <v>2484.6</v>
      </c>
      <c r="AN12" s="3">
        <v>11299.666666666666</v>
      </c>
      <c r="AO12" s="11">
        <v>11137.666666666666</v>
      </c>
      <c r="AP12" s="3">
        <v>4837.7333333333327</v>
      </c>
      <c r="AQ12" s="11">
        <v>4289.5333333333338</v>
      </c>
      <c r="AR12" s="3">
        <v>565.83000000000004</v>
      </c>
      <c r="AS12" s="11">
        <v>557.64</v>
      </c>
      <c r="AT12" s="5">
        <v>0.32750666666666661</v>
      </c>
      <c r="AU12" s="8">
        <v>0.32206000000000001</v>
      </c>
      <c r="AV12" s="3">
        <v>4650.5639084082786</v>
      </c>
      <c r="AW12" s="11">
        <v>4533.0828747396408</v>
      </c>
      <c r="AX12" s="10">
        <v>0.36608117961700165</v>
      </c>
      <c r="AY12" s="29">
        <v>0.34203606204801168</v>
      </c>
      <c r="AZ12" s="5">
        <v>0.49300000000000005</v>
      </c>
      <c r="BA12" s="8">
        <v>0.47533333333333339</v>
      </c>
      <c r="BB12" s="5">
        <v>0.29804210625000005</v>
      </c>
      <c r="BC12" s="31">
        <v>0.27708181500000006</v>
      </c>
      <c r="BD12" s="5">
        <v>2.0444999999999998</v>
      </c>
      <c r="BE12" s="8">
        <v>1.8856000000000002</v>
      </c>
      <c r="BF12" s="5">
        <v>0.21338892507645257</v>
      </c>
      <c r="BG12" s="8">
        <v>0.18121753312945973</v>
      </c>
      <c r="BH12" s="3">
        <v>1444</v>
      </c>
      <c r="BI12" s="11">
        <v>1528.75</v>
      </c>
      <c r="BJ12" s="3">
        <v>2545.4666666666667</v>
      </c>
      <c r="BK12" s="11">
        <v>2389.1</v>
      </c>
      <c r="BL12" s="3">
        <v>8770.7333333333336</v>
      </c>
      <c r="BM12" s="11">
        <v>9547.25</v>
      </c>
      <c r="BN12" s="3">
        <v>3167.1333333333332</v>
      </c>
      <c r="BO12" s="11">
        <v>4399.3500000000004</v>
      </c>
      <c r="BP12" s="3">
        <v>2774.7999999999997</v>
      </c>
      <c r="BQ12" s="11">
        <v>2716</v>
      </c>
      <c r="BR12" s="3">
        <v>3949.6999999999994</v>
      </c>
      <c r="BS12" s="11">
        <v>4210.8500000000004</v>
      </c>
      <c r="BT12" s="3">
        <v>3088.7666666666664</v>
      </c>
      <c r="BU12" s="11">
        <v>2990.3</v>
      </c>
      <c r="BV12" s="5">
        <v>0.4513333333333332</v>
      </c>
      <c r="BW12" s="8">
        <v>0.43699999999999994</v>
      </c>
      <c r="BX12" s="5">
        <f t="shared" si="0"/>
        <v>1.1539790488448414</v>
      </c>
      <c r="BY12" s="8">
        <f t="shared" si="1"/>
        <v>1.2767642303953772</v>
      </c>
      <c r="BZ12" s="5">
        <v>0.24980265749999989</v>
      </c>
      <c r="CA12" s="31">
        <v>0.23417573624999996</v>
      </c>
      <c r="CB12" s="5">
        <v>0.42399999999999999</v>
      </c>
      <c r="CC12" s="8">
        <v>0.42666666666666703</v>
      </c>
      <c r="CD12" s="5">
        <v>0.22055168999999999</v>
      </c>
      <c r="CE12" s="8">
        <v>0.22323554249999999</v>
      </c>
      <c r="CF12" s="5">
        <v>0.20066666666666669</v>
      </c>
      <c r="CG12" s="8">
        <v>0.19933333333333336</v>
      </c>
      <c r="CH12" s="10">
        <v>1.0990722770222046</v>
      </c>
      <c r="CI12" s="29">
        <v>1.1200609534168493</v>
      </c>
      <c r="CJ12" s="3">
        <v>4507.5666666666666</v>
      </c>
      <c r="CK12" s="33">
        <v>4761.333333333333</v>
      </c>
      <c r="CL12" s="3">
        <v>1980.6</v>
      </c>
      <c r="CM12" s="3">
        <v>1977.2333333333333</v>
      </c>
      <c r="CN12" s="2">
        <v>826.18</v>
      </c>
      <c r="CO12" s="3">
        <v>824.69333333333327</v>
      </c>
      <c r="CP12" s="2">
        <v>1045.7</v>
      </c>
      <c r="CQ12" s="3">
        <v>1088.5333333333333</v>
      </c>
      <c r="CR12" s="2">
        <v>1814.3</v>
      </c>
      <c r="CS12" s="3">
        <v>1719.9666666666665</v>
      </c>
      <c r="CT12" s="2">
        <v>35.162999999999997</v>
      </c>
      <c r="CU12" s="3">
        <v>34.873999999999995</v>
      </c>
      <c r="CV12" s="2">
        <v>82.585999999999999</v>
      </c>
      <c r="CW12" s="3">
        <v>83.026666666666685</v>
      </c>
      <c r="CX12" s="2">
        <v>311.39999999999998</v>
      </c>
      <c r="CY12" s="3">
        <v>313.45999999999998</v>
      </c>
      <c r="CZ12" s="2">
        <v>4090.1</v>
      </c>
      <c r="DA12" s="3">
        <v>4076.9333333333329</v>
      </c>
      <c r="DB12" s="2">
        <v>4240.1000000000004</v>
      </c>
      <c r="DC12" s="11">
        <v>4676.9999999999991</v>
      </c>
      <c r="DD12" s="3">
        <v>4636.5</v>
      </c>
      <c r="DE12" s="11">
        <v>4315.3666666666668</v>
      </c>
      <c r="DF12" s="10">
        <v>0.76667003265003864</v>
      </c>
      <c r="DG12" s="37">
        <v>0.73774803176155235</v>
      </c>
      <c r="DH12" s="3">
        <v>160.44633333333331</v>
      </c>
      <c r="DI12" s="33">
        <v>180.89566666666667</v>
      </c>
    </row>
    <row r="13" spans="1:114" s="6" customFormat="1" x14ac:dyDescent="0.2">
      <c r="A13" s="44">
        <v>11</v>
      </c>
      <c r="B13" s="3">
        <v>16.78</v>
      </c>
      <c r="C13" s="3">
        <v>18.752500000000001</v>
      </c>
      <c r="D13" s="2">
        <v>5.6349999999999998</v>
      </c>
      <c r="E13" s="3">
        <v>5.4124999999999996</v>
      </c>
      <c r="F13" s="2">
        <v>11.145</v>
      </c>
      <c r="G13" s="11">
        <v>13.34</v>
      </c>
      <c r="H13" s="3">
        <v>4.6631799163179908</v>
      </c>
      <c r="I13" s="11">
        <v>5.5815899581589958</v>
      </c>
      <c r="J13" s="3">
        <v>130.80449999999999</v>
      </c>
      <c r="K13" s="3">
        <v>139.98874999999998</v>
      </c>
      <c r="L13" s="2">
        <v>4210.6944866572458</v>
      </c>
      <c r="M13" s="3">
        <v>4444.319423831218</v>
      </c>
      <c r="N13" s="2">
        <v>329.55685045334229</v>
      </c>
      <c r="O13" s="3">
        <v>269.48615263833892</v>
      </c>
      <c r="P13" s="1">
        <v>192.96302177112111</v>
      </c>
      <c r="Q13" s="6">
        <v>171.69869784117998</v>
      </c>
      <c r="R13" s="1">
        <v>530.8352901574666</v>
      </c>
      <c r="S13" s="6">
        <v>313.5855175141524</v>
      </c>
      <c r="T13" s="1">
        <v>787.6408725834882</v>
      </c>
      <c r="U13" s="6">
        <v>644.07190480562997</v>
      </c>
      <c r="V13" s="1">
        <v>461.18162203297942</v>
      </c>
      <c r="W13" s="6">
        <v>410.35988784042013</v>
      </c>
      <c r="X13" s="1">
        <v>1268.6963434763452</v>
      </c>
      <c r="Y13" s="6">
        <v>749.46938685882469</v>
      </c>
      <c r="Z13" s="4">
        <v>902.9663367528774</v>
      </c>
      <c r="AA13" s="5">
        <v>796.24613365491837</v>
      </c>
      <c r="AB13" s="2">
        <v>31.064828002717928</v>
      </c>
      <c r="AC13" s="3">
        <v>31.498354787317005</v>
      </c>
      <c r="AD13" s="2">
        <v>8.5</v>
      </c>
      <c r="AE13" s="3">
        <v>10</v>
      </c>
      <c r="AF13" s="9">
        <v>2.0053666666666667</v>
      </c>
      <c r="AG13" s="5">
        <v>2.0836666666666663</v>
      </c>
      <c r="AH13" s="4">
        <v>0.20498360635406052</v>
      </c>
      <c r="AI13" s="5">
        <v>0.2212940788311247</v>
      </c>
      <c r="AJ13" s="2">
        <v>1641.3666666666668</v>
      </c>
      <c r="AK13" s="11">
        <v>1692.8333333333333</v>
      </c>
      <c r="AL13" s="3">
        <v>2496.7999999999997</v>
      </c>
      <c r="AM13" s="11">
        <v>2556.9666666666667</v>
      </c>
      <c r="AN13" s="3">
        <v>11647.666666666666</v>
      </c>
      <c r="AO13" s="11">
        <v>11410.333333333334</v>
      </c>
      <c r="AP13" s="3">
        <v>6755</v>
      </c>
      <c r="AQ13" s="11">
        <v>9088.5</v>
      </c>
      <c r="AR13" s="3">
        <v>570.71333333333325</v>
      </c>
      <c r="AS13" s="11">
        <v>578.88666666666666</v>
      </c>
      <c r="AT13" s="5">
        <v>0.27995333333333333</v>
      </c>
      <c r="AU13" s="8">
        <v>0.31370999999999999</v>
      </c>
      <c r="AV13" s="3">
        <v>5877.7877992092663</v>
      </c>
      <c r="AW13" s="11">
        <v>5396.1115318738885</v>
      </c>
      <c r="AX13" s="10">
        <v>0.33830407702722037</v>
      </c>
      <c r="AY13" s="29">
        <v>0.35276486759188758</v>
      </c>
      <c r="AZ13" s="5">
        <v>0.44766666666666666</v>
      </c>
      <c r="BA13" s="8">
        <v>0.46599999999999991</v>
      </c>
      <c r="BB13" s="5">
        <v>0.24581448375000001</v>
      </c>
      <c r="BC13" s="31">
        <v>0.26629326749999988</v>
      </c>
      <c r="BD13" s="5">
        <v>1.95</v>
      </c>
      <c r="BE13" s="8">
        <v>1.9837666666666667</v>
      </c>
      <c r="BF13" s="5">
        <v>0.19395990757730205</v>
      </c>
      <c r="BG13" s="8">
        <v>0.20058550101936801</v>
      </c>
      <c r="BH13" s="3">
        <v>1345.4333333333332</v>
      </c>
      <c r="BI13" s="11">
        <v>1323.5333333333333</v>
      </c>
      <c r="BJ13" s="3">
        <v>2441.2000000000003</v>
      </c>
      <c r="BK13" s="11">
        <v>2464.2000000000003</v>
      </c>
      <c r="BL13" s="3">
        <v>7115.1333333333341</v>
      </c>
      <c r="BM13" s="11">
        <v>7145.7333333333336</v>
      </c>
      <c r="BN13" s="3">
        <v>2112.4</v>
      </c>
      <c r="BO13" s="11">
        <v>2053.7333333333331</v>
      </c>
      <c r="BP13" s="3">
        <v>3186.5</v>
      </c>
      <c r="BQ13" s="11">
        <v>3497.0666666666671</v>
      </c>
      <c r="BR13" s="3">
        <v>4288.3666666666659</v>
      </c>
      <c r="BS13" s="11">
        <v>4747.833333333333</v>
      </c>
      <c r="BT13" s="3">
        <v>2259.5</v>
      </c>
      <c r="BU13" s="11">
        <v>2185.1333333333337</v>
      </c>
      <c r="BV13" s="5">
        <v>0.42733333333333351</v>
      </c>
      <c r="BW13" s="8">
        <v>0.44666666666666671</v>
      </c>
      <c r="BX13" s="5">
        <f t="shared" si="0"/>
        <v>1.0568349351907429</v>
      </c>
      <c r="BY13" s="8">
        <f t="shared" si="1"/>
        <v>1.1032406515252422</v>
      </c>
      <c r="BZ13" s="5">
        <v>0.22405631250000016</v>
      </c>
      <c r="CA13" s="31">
        <v>0.24465894750000006</v>
      </c>
      <c r="CB13" s="5">
        <v>0.38866666666666666</v>
      </c>
      <c r="CC13" s="8">
        <v>0.39066666666666672</v>
      </c>
      <c r="CD13" s="5">
        <v>0.18525367500000001</v>
      </c>
      <c r="CE13" s="8">
        <v>0.18715272750000003</v>
      </c>
      <c r="CF13" s="5">
        <v>0.19333333333333336</v>
      </c>
      <c r="CG13" s="8">
        <v>0.19400000000000003</v>
      </c>
      <c r="CH13" s="10">
        <v>0.95880840696917069</v>
      </c>
      <c r="CI13" s="29">
        <v>0.96642270977452538</v>
      </c>
      <c r="CJ13" s="3">
        <v>4806.9333333333334</v>
      </c>
      <c r="CK13" s="33">
        <v>4397.333333333333</v>
      </c>
      <c r="CL13" s="3">
        <v>1728.8999999999999</v>
      </c>
      <c r="CM13" s="3">
        <v>1775.0666666666666</v>
      </c>
      <c r="CN13" s="2">
        <v>883.2833333333333</v>
      </c>
      <c r="CO13" s="3">
        <v>907.98666666666668</v>
      </c>
      <c r="CP13" s="2">
        <v>1107.0166666666667</v>
      </c>
      <c r="CQ13" s="3">
        <v>1127.6000000000001</v>
      </c>
      <c r="CR13" s="2">
        <v>1480.3333333333333</v>
      </c>
      <c r="CS13" s="3">
        <v>1585.3333333333333</v>
      </c>
      <c r="CT13" s="2">
        <v>38.983333333333341</v>
      </c>
      <c r="CU13" s="3">
        <v>40.74133333333333</v>
      </c>
      <c r="CV13" s="2">
        <v>89.888999999999996</v>
      </c>
      <c r="CW13" s="3">
        <v>92.418999999999997</v>
      </c>
      <c r="CX13" s="2">
        <v>283.49666666666667</v>
      </c>
      <c r="CY13" s="3">
        <v>301.04666666666668</v>
      </c>
      <c r="CZ13" s="2">
        <v>2816.1999999999994</v>
      </c>
      <c r="DA13" s="3">
        <v>2621.4333333333329</v>
      </c>
      <c r="DB13" s="2">
        <v>3645.2666666666664</v>
      </c>
      <c r="DC13" s="11">
        <v>3507.0666666666671</v>
      </c>
      <c r="DD13" s="3">
        <v>2948.3333333333335</v>
      </c>
      <c r="DE13" s="11">
        <v>3233.6</v>
      </c>
      <c r="DF13" s="10">
        <v>0.94937050533094269</v>
      </c>
      <c r="DG13" s="37">
        <v>0.95367310147975659</v>
      </c>
      <c r="DH13" s="3">
        <v>100.65833333333335</v>
      </c>
      <c r="DI13" s="33">
        <v>118.383</v>
      </c>
    </row>
    <row r="14" spans="1:114" s="6" customFormat="1" x14ac:dyDescent="0.2">
      <c r="A14" s="44">
        <v>12</v>
      </c>
      <c r="B14" s="3">
        <v>20.114999999999998</v>
      </c>
      <c r="C14" s="3">
        <v>16.45</v>
      </c>
      <c r="D14" s="2">
        <v>5.5374999999999996</v>
      </c>
      <c r="E14" s="3">
        <v>4.47</v>
      </c>
      <c r="F14" s="2">
        <v>14.577500000000001</v>
      </c>
      <c r="G14" s="11">
        <v>11.98</v>
      </c>
      <c r="H14" s="3">
        <v>7.7129629629629637</v>
      </c>
      <c r="I14" s="11">
        <v>6.3386243386243395</v>
      </c>
      <c r="J14" s="3">
        <v>130.05324999999999</v>
      </c>
      <c r="K14" s="3">
        <v>132.66300000000001</v>
      </c>
      <c r="L14" s="2">
        <v>5191.5255283718652</v>
      </c>
      <c r="M14" s="3">
        <v>5185.8420250981962</v>
      </c>
      <c r="N14" s="2">
        <v>359.0026972836169</v>
      </c>
      <c r="O14" s="3">
        <v>373.84232711303503</v>
      </c>
      <c r="P14" s="1">
        <v>167.577297617478</v>
      </c>
      <c r="Q14" s="6">
        <v>173.7622280089137</v>
      </c>
      <c r="R14" s="1">
        <v>706.33172890879393</v>
      </c>
      <c r="S14" s="6">
        <v>732.79097806301399</v>
      </c>
      <c r="T14" s="1">
        <v>678.51509786603594</v>
      </c>
      <c r="U14" s="6">
        <v>706.56199824363625</v>
      </c>
      <c r="V14" s="1">
        <v>316.72109249703334</v>
      </c>
      <c r="W14" s="6">
        <v>328.41061093684698</v>
      </c>
      <c r="X14" s="1">
        <v>1371.0809451892924</v>
      </c>
      <c r="Y14" s="6">
        <v>1384.9749485390967</v>
      </c>
      <c r="Z14" s="4">
        <v>673.09094485493563</v>
      </c>
      <c r="AA14" s="5">
        <v>818.13367507809596</v>
      </c>
      <c r="AB14" s="2">
        <v>25.051066259667707</v>
      </c>
      <c r="AC14" s="3">
        <v>25.581766540119002</v>
      </c>
      <c r="AD14" s="2">
        <v>14</v>
      </c>
      <c r="AE14" s="3">
        <v>15.4</v>
      </c>
      <c r="AF14" s="9">
        <v>2.1887333333333334</v>
      </c>
      <c r="AG14" s="5">
        <v>2.2451666666666665</v>
      </c>
      <c r="AH14" s="4">
        <v>0.24418323377505943</v>
      </c>
      <c r="AI14" s="5">
        <v>0.25692936068637445</v>
      </c>
      <c r="AJ14" s="2">
        <v>1141.4333333333334</v>
      </c>
      <c r="AK14" s="11">
        <v>1152.8333333333333</v>
      </c>
      <c r="AL14" s="3">
        <v>2182.2666666666664</v>
      </c>
      <c r="AM14" s="11">
        <v>2235.2000000000003</v>
      </c>
      <c r="AN14" s="3">
        <v>9664.9666666666672</v>
      </c>
      <c r="AO14" s="11">
        <v>9775.1666666666661</v>
      </c>
      <c r="AP14" s="3">
        <v>2644.9</v>
      </c>
      <c r="AQ14" s="11">
        <v>2001.7333333333336</v>
      </c>
      <c r="AR14" s="3">
        <v>446.2833333333333</v>
      </c>
      <c r="AS14" s="11">
        <v>462.55333333333334</v>
      </c>
      <c r="AT14" s="5">
        <v>0.29905000000000004</v>
      </c>
      <c r="AU14" s="8">
        <v>0.31146000000000001</v>
      </c>
      <c r="AV14" s="3">
        <v>3839.7181478296093</v>
      </c>
      <c r="AW14" s="11">
        <v>3706.5964985564192</v>
      </c>
      <c r="AX14" s="10">
        <v>0.27041953280622594</v>
      </c>
      <c r="AY14" s="29">
        <v>0.27495819545501643</v>
      </c>
      <c r="AZ14" s="5">
        <v>0.45833333333333343</v>
      </c>
      <c r="BA14" s="8">
        <v>0.47333333333333316</v>
      </c>
      <c r="BB14" s="5">
        <v>0.25761100875000009</v>
      </c>
      <c r="BC14" s="31">
        <v>0.27474785249999983</v>
      </c>
      <c r="BD14" s="5">
        <v>2.0609333333333333</v>
      </c>
      <c r="BE14" s="8">
        <v>2.0836666666666663</v>
      </c>
      <c r="BF14" s="5">
        <v>0.21650447706422016</v>
      </c>
      <c r="BG14" s="8">
        <v>0.22130029459734965</v>
      </c>
      <c r="BH14" s="3">
        <v>1167.6333333333334</v>
      </c>
      <c r="BI14" s="11">
        <v>1124.5333333333335</v>
      </c>
      <c r="BJ14" s="3">
        <v>2102.5</v>
      </c>
      <c r="BK14" s="11">
        <v>2076.6333333333332</v>
      </c>
      <c r="BL14" s="3">
        <v>6602.2</v>
      </c>
      <c r="BM14" s="11">
        <v>5565.7333333333336</v>
      </c>
      <c r="BN14" s="3">
        <v>2380.4</v>
      </c>
      <c r="BO14" s="11">
        <v>1798.9333333333334</v>
      </c>
      <c r="BP14" s="3">
        <v>1452.3400000000001</v>
      </c>
      <c r="BQ14" s="11">
        <v>746.2266666666668</v>
      </c>
      <c r="BR14" s="3">
        <v>2192.5000000000005</v>
      </c>
      <c r="BS14" s="11">
        <v>1308.3100000000002</v>
      </c>
      <c r="BT14" s="3">
        <v>2440.0333333333333</v>
      </c>
      <c r="BU14" s="11">
        <v>1888.3333333333333</v>
      </c>
      <c r="BV14" s="5">
        <v>0.4326666666666667</v>
      </c>
      <c r="BW14" s="8">
        <v>0.43799999999999994</v>
      </c>
      <c r="BX14" s="5">
        <f t="shared" si="0"/>
        <v>1.1278438076023209</v>
      </c>
      <c r="BY14" s="8">
        <f t="shared" si="1"/>
        <v>1.160998728690583</v>
      </c>
      <c r="BZ14" s="5">
        <v>0.22956626250000003</v>
      </c>
      <c r="CA14" s="31">
        <v>0.23524952249999997</v>
      </c>
      <c r="CB14" s="5">
        <v>0.40133333333333332</v>
      </c>
      <c r="CC14" s="8">
        <v>0.41399999999999998</v>
      </c>
      <c r="CD14" s="5">
        <v>0.19769520750000003</v>
      </c>
      <c r="CE14" s="8">
        <v>0.2102830725</v>
      </c>
      <c r="CF14" s="5">
        <v>0.20299999999999999</v>
      </c>
      <c r="CG14" s="8">
        <v>0.21199999999999999</v>
      </c>
      <c r="CH14" s="10">
        <v>0.97371280191081944</v>
      </c>
      <c r="CI14" s="29">
        <v>0.99295772399475535</v>
      </c>
      <c r="CJ14" s="3">
        <v>3009.4666666666667</v>
      </c>
      <c r="CK14" s="33">
        <v>2661.2333333333331</v>
      </c>
      <c r="CL14" s="3">
        <v>1396.8333333333333</v>
      </c>
      <c r="CM14" s="3">
        <v>1459.65</v>
      </c>
      <c r="CN14" s="2">
        <v>632.92333333333329</v>
      </c>
      <c r="CO14" s="3">
        <v>595.27</v>
      </c>
      <c r="CP14" s="2">
        <v>750.04666666666674</v>
      </c>
      <c r="CQ14" s="3">
        <v>700.28500000000008</v>
      </c>
      <c r="CR14" s="2">
        <v>1064.5333333333333</v>
      </c>
      <c r="CS14" s="3">
        <v>1012.1850000000001</v>
      </c>
      <c r="CT14" s="2">
        <v>30.320999999999998</v>
      </c>
      <c r="CU14" s="3">
        <v>28.932000000000002</v>
      </c>
      <c r="CV14" s="2">
        <v>64.673333333333332</v>
      </c>
      <c r="CW14" s="3">
        <v>60.924500000000002</v>
      </c>
      <c r="CX14" s="2">
        <v>203.75333333333333</v>
      </c>
      <c r="CY14" s="3">
        <v>188.41000000000003</v>
      </c>
      <c r="CZ14" s="2">
        <v>763.26333333333332</v>
      </c>
      <c r="DA14" s="3">
        <v>540.86500000000001</v>
      </c>
      <c r="DB14" s="2">
        <v>1559.46</v>
      </c>
      <c r="DC14" s="11">
        <v>1320.595</v>
      </c>
      <c r="DD14" s="3">
        <v>1873.9666666666665</v>
      </c>
      <c r="DE14" s="11">
        <v>1775.8</v>
      </c>
      <c r="DF14" s="10">
        <v>0.81715785705763044</v>
      </c>
      <c r="DG14" s="37">
        <v>0.78980120805215848</v>
      </c>
      <c r="DH14" s="3">
        <v>128.50666666666666</v>
      </c>
      <c r="DI14" s="33">
        <v>151.49566666666666</v>
      </c>
    </row>
    <row r="15" spans="1:114" s="6" customFormat="1" x14ac:dyDescent="0.2">
      <c r="A15" s="44">
        <v>13</v>
      </c>
      <c r="B15" s="3">
        <v>20.265000000000001</v>
      </c>
      <c r="C15" s="3">
        <v>20.83666666666667</v>
      </c>
      <c r="D15" s="2">
        <v>6.3624999999999998</v>
      </c>
      <c r="E15" s="3">
        <v>6.5933333333333337</v>
      </c>
      <c r="F15" s="2">
        <v>13.902500000000002</v>
      </c>
      <c r="G15" s="11">
        <v>14.243333333333332</v>
      </c>
      <c r="H15" s="3">
        <v>7.1662371134020635</v>
      </c>
      <c r="I15" s="11">
        <v>7.3419243986254292</v>
      </c>
      <c r="J15" s="3">
        <v>135.65225000000001</v>
      </c>
      <c r="K15" s="3">
        <v>143.47900000000001</v>
      </c>
      <c r="L15" s="2">
        <v>4618.8764384162059</v>
      </c>
      <c r="M15" s="3">
        <v>4665.5604626268168</v>
      </c>
      <c r="N15" s="2">
        <v>357.10680907954389</v>
      </c>
      <c r="O15" s="3">
        <v>302.38856881198365</v>
      </c>
      <c r="P15" s="1">
        <v>180.49810506483215</v>
      </c>
      <c r="Q15" s="6">
        <v>133.5127383450791</v>
      </c>
      <c r="R15" s="1">
        <v>628.5066375488052</v>
      </c>
      <c r="S15" s="6">
        <v>260.77533541836726</v>
      </c>
      <c r="T15" s="1">
        <v>692.78720961431509</v>
      </c>
      <c r="U15" s="6">
        <v>586.63382349524852</v>
      </c>
      <c r="V15" s="1">
        <v>350.16632382577455</v>
      </c>
      <c r="W15" s="6">
        <v>259.01471238945351</v>
      </c>
      <c r="X15" s="1">
        <v>1219.3028768446827</v>
      </c>
      <c r="Y15" s="6">
        <v>505.90415071163164</v>
      </c>
      <c r="Z15" s="4">
        <v>644.53301855978691</v>
      </c>
      <c r="AA15" s="5">
        <v>635.46833354757962</v>
      </c>
      <c r="AB15" s="2">
        <v>29.369101297395741</v>
      </c>
      <c r="AC15" s="3">
        <v>30.752789755770962</v>
      </c>
      <c r="AD15" s="2">
        <v>11.9</v>
      </c>
      <c r="AE15" s="3">
        <v>12.8</v>
      </c>
      <c r="AF15" s="9">
        <v>2.1193333333333335</v>
      </c>
      <c r="AG15" s="5">
        <v>2.2076333333333333</v>
      </c>
      <c r="AH15" s="4">
        <v>0.22893567006455995</v>
      </c>
      <c r="AI15" s="5">
        <v>0.24842233146449197</v>
      </c>
      <c r="AJ15" s="2">
        <v>1410.7333333333333</v>
      </c>
      <c r="AK15" s="11">
        <v>1775.2</v>
      </c>
      <c r="AL15" s="3">
        <v>2743.6</v>
      </c>
      <c r="AM15" s="11">
        <v>3050.3333333333335</v>
      </c>
      <c r="AN15" s="3">
        <v>11735.666666666666</v>
      </c>
      <c r="AO15" s="11">
        <v>20792.666666666668</v>
      </c>
      <c r="AP15" s="3">
        <v>2638.9</v>
      </c>
      <c r="AQ15" s="11">
        <v>9364.4333333333325</v>
      </c>
      <c r="AR15" s="3">
        <v>545.44000000000005</v>
      </c>
      <c r="AS15" s="11">
        <v>443.56666666666666</v>
      </c>
      <c r="AT15" s="5">
        <v>0.26145333333333337</v>
      </c>
      <c r="AU15" s="8">
        <v>0.19090333333333334</v>
      </c>
      <c r="AV15" s="3">
        <v>5401.0132892954643</v>
      </c>
      <c r="AW15" s="11">
        <v>9428.9522865115941</v>
      </c>
      <c r="AX15" s="10">
        <v>0.28312880121225031</v>
      </c>
      <c r="AY15" s="29">
        <v>0.40432352511293912</v>
      </c>
      <c r="AZ15" s="5">
        <v>0.44633333333333347</v>
      </c>
      <c r="BA15" s="8">
        <v>0.45833333333333331</v>
      </c>
      <c r="BB15" s="5">
        <v>0.24432581625000016</v>
      </c>
      <c r="BC15" s="31">
        <v>0.25762408874999998</v>
      </c>
      <c r="BD15" s="5">
        <v>2.0196333333333332</v>
      </c>
      <c r="BE15" s="8">
        <v>2.0746000000000002</v>
      </c>
      <c r="BF15" s="5">
        <v>0.20803347009853887</v>
      </c>
      <c r="BG15" s="8">
        <v>0.21936621610601428</v>
      </c>
      <c r="BH15" s="3">
        <v>1609.5333333333335</v>
      </c>
      <c r="BI15" s="11">
        <v>1585.8</v>
      </c>
      <c r="BJ15" s="3">
        <v>2850.2666666666664</v>
      </c>
      <c r="BK15" s="11">
        <v>2861.1</v>
      </c>
      <c r="BL15" s="3">
        <v>9966.9333333333325</v>
      </c>
      <c r="BM15" s="11">
        <v>11561</v>
      </c>
      <c r="BN15" s="3">
        <v>3811.9</v>
      </c>
      <c r="BO15" s="11">
        <v>4959.1000000000004</v>
      </c>
      <c r="BP15" s="3">
        <v>1808.1733333333334</v>
      </c>
      <c r="BQ15" s="11">
        <v>3943.4</v>
      </c>
      <c r="BR15" s="3">
        <v>2731.5866666666666</v>
      </c>
      <c r="BS15" s="11">
        <v>5967.8</v>
      </c>
      <c r="BT15" s="3">
        <v>3589.7000000000003</v>
      </c>
      <c r="BU15" s="11">
        <v>3486.8</v>
      </c>
      <c r="BV15" s="5">
        <v>0.42399999999999993</v>
      </c>
      <c r="BW15" s="8">
        <v>0.44099999999999984</v>
      </c>
      <c r="BX15" s="5">
        <f t="shared" si="0"/>
        <v>1.1004751781341742</v>
      </c>
      <c r="BY15" s="8">
        <f t="shared" si="1"/>
        <v>1.1324548322629386</v>
      </c>
      <c r="BZ15" s="5">
        <v>0.22059338249999996</v>
      </c>
      <c r="CA15" s="31">
        <v>0.23848232624999982</v>
      </c>
      <c r="CB15" s="5">
        <v>0.43533333333333335</v>
      </c>
      <c r="CC15" s="8">
        <v>0.44966666666666666</v>
      </c>
      <c r="CD15" s="5">
        <v>0.23249209500000001</v>
      </c>
      <c r="CE15" s="8">
        <v>0.24811329375000002</v>
      </c>
      <c r="CF15" s="5">
        <v>0.26300000000000001</v>
      </c>
      <c r="CG15" s="8">
        <v>0.23499999999999999</v>
      </c>
      <c r="CH15" s="10">
        <v>0.88712172162684233</v>
      </c>
      <c r="CI15" s="29">
        <v>1.0572945434357122</v>
      </c>
      <c r="CJ15" s="3">
        <v>3396.6666666666665</v>
      </c>
      <c r="CK15" s="33">
        <v>3478.6</v>
      </c>
      <c r="CL15" s="3">
        <v>1639.8</v>
      </c>
      <c r="CM15" s="3">
        <v>1561.3</v>
      </c>
      <c r="CN15" s="2">
        <v>743.09</v>
      </c>
      <c r="CO15" s="3">
        <v>734.96</v>
      </c>
      <c r="CP15" s="2">
        <v>920.87666666666667</v>
      </c>
      <c r="CQ15" s="3">
        <v>889.32</v>
      </c>
      <c r="CR15" s="2">
        <v>1389.5</v>
      </c>
      <c r="CS15" s="3">
        <v>1376.9</v>
      </c>
      <c r="CT15" s="2">
        <v>33.798000000000002</v>
      </c>
      <c r="CU15" s="3">
        <v>32.511000000000003</v>
      </c>
      <c r="CV15" s="2">
        <v>75.550333333333342</v>
      </c>
      <c r="CW15" s="3">
        <v>73.704999999999998</v>
      </c>
      <c r="CX15" s="2">
        <v>242.58333333333334</v>
      </c>
      <c r="CY15" s="3">
        <v>237.77</v>
      </c>
      <c r="CZ15" s="2">
        <v>1926.5999999999997</v>
      </c>
      <c r="DA15" s="3">
        <v>3032</v>
      </c>
      <c r="DB15" s="2">
        <v>2734.6333333333332</v>
      </c>
      <c r="DC15" s="11">
        <v>3036</v>
      </c>
      <c r="DD15" s="3">
        <v>2970.9666666666667</v>
      </c>
      <c r="DE15" s="11">
        <v>3174.1</v>
      </c>
      <c r="DF15" s="10">
        <v>0.86030816766272311</v>
      </c>
      <c r="DG15" s="37">
        <v>1.1370012169346058</v>
      </c>
      <c r="DH15" s="3">
        <v>157.73866666666666</v>
      </c>
      <c r="DI15" s="33">
        <v>139.88499999999999</v>
      </c>
    </row>
    <row r="16" spans="1:114" s="6" customFormat="1" x14ac:dyDescent="0.2">
      <c r="A16" s="44">
        <v>14</v>
      </c>
      <c r="B16" s="3">
        <v>16.484999999999999</v>
      </c>
      <c r="C16" s="3">
        <v>19.62</v>
      </c>
      <c r="D16" s="2">
        <v>4.24</v>
      </c>
      <c r="E16" s="3">
        <v>4.3574999999999999</v>
      </c>
      <c r="F16" s="2">
        <v>12.245000000000001</v>
      </c>
      <c r="G16" s="11">
        <v>15.262499999999999</v>
      </c>
      <c r="H16" s="3">
        <v>6.1532663316582905</v>
      </c>
      <c r="I16" s="11">
        <v>7.6695979899497484</v>
      </c>
      <c r="J16" s="3">
        <v>132.08199999999999</v>
      </c>
      <c r="K16" s="3">
        <v>133.47549999999998</v>
      </c>
      <c r="L16" s="2">
        <v>4753.3964436472788</v>
      </c>
      <c r="M16" s="3">
        <v>4597.2297927045065</v>
      </c>
      <c r="N16" s="2">
        <v>381.29777246560462</v>
      </c>
      <c r="O16" s="3">
        <v>280.75393449946364</v>
      </c>
      <c r="P16" s="1">
        <v>268.26864901386091</v>
      </c>
      <c r="Q16" s="6">
        <v>155.41445595085511</v>
      </c>
      <c r="R16" s="1">
        <v>398.22445131004753</v>
      </c>
      <c r="S16" s="6">
        <v>401.58199071952822</v>
      </c>
      <c r="T16" s="1">
        <v>758.78256720655338</v>
      </c>
      <c r="U16" s="6">
        <v>558.70032965393261</v>
      </c>
      <c r="V16" s="1">
        <v>533.85461153758308</v>
      </c>
      <c r="W16" s="6">
        <v>309.2747673422017</v>
      </c>
      <c r="X16" s="1">
        <v>792.46665810699437</v>
      </c>
      <c r="Y16" s="6">
        <v>799.14816153186109</v>
      </c>
      <c r="Z16" s="1">
        <v>772.49970786917811</v>
      </c>
      <c r="AA16" s="6">
        <v>599.40948648530502</v>
      </c>
      <c r="AB16" s="2">
        <v>27.786868098603943</v>
      </c>
      <c r="AC16" s="3">
        <v>29.033897807722514</v>
      </c>
      <c r="AD16" s="2">
        <v>10.3</v>
      </c>
      <c r="AE16" s="3">
        <v>9.1999999999999993</v>
      </c>
      <c r="AF16" s="9">
        <v>2.1339666666666663</v>
      </c>
      <c r="AG16" s="5">
        <v>2.1663666666666668</v>
      </c>
      <c r="AH16" s="4">
        <v>0.23210538820931023</v>
      </c>
      <c r="AI16" s="5">
        <v>0.23923207662249404</v>
      </c>
      <c r="AJ16" s="2">
        <v>1363.0666666666668</v>
      </c>
      <c r="AK16" s="11">
        <v>1313.5</v>
      </c>
      <c r="AL16" s="3">
        <v>2560.1666666666665</v>
      </c>
      <c r="AM16" s="11">
        <v>2581.69</v>
      </c>
      <c r="AN16" s="3">
        <v>13485.666666666666</v>
      </c>
      <c r="AO16" s="11">
        <v>12228</v>
      </c>
      <c r="AP16" s="3">
        <v>3384.2666666666664</v>
      </c>
      <c r="AQ16" s="11">
        <v>3257.7000000000003</v>
      </c>
      <c r="AR16" s="3">
        <v>460.89333333333337</v>
      </c>
      <c r="AS16" s="11">
        <v>492.27333333333337</v>
      </c>
      <c r="AT16" s="5">
        <v>0.27731666666666666</v>
      </c>
      <c r="AU16" s="8">
        <v>0.28736333333333336</v>
      </c>
      <c r="AV16" s="3">
        <v>4974.1918605042483</v>
      </c>
      <c r="AW16" s="11">
        <v>4589.1460040826141</v>
      </c>
      <c r="AX16" s="10">
        <v>0.27900534422501067</v>
      </c>
      <c r="AY16" s="29">
        <v>0.28110704118380853</v>
      </c>
      <c r="AZ16" s="5">
        <v>0.44466666666666682</v>
      </c>
      <c r="BA16" s="8">
        <v>0.45366666666666661</v>
      </c>
      <c r="BB16" s="5">
        <v>0.2424721350000002</v>
      </c>
      <c r="BC16" s="31">
        <v>0.25238064374999997</v>
      </c>
      <c r="BD16" s="5">
        <v>1.9836666666666669</v>
      </c>
      <c r="BE16" s="8">
        <v>2.0413000000000001</v>
      </c>
      <c r="BF16" s="5">
        <v>0.20058608596670066</v>
      </c>
      <c r="BG16" s="8">
        <v>0.21240389483520217</v>
      </c>
      <c r="BH16" s="3">
        <v>1272.8</v>
      </c>
      <c r="BI16" s="11">
        <v>1289.4333333333332</v>
      </c>
      <c r="BJ16" s="3">
        <v>2352.6333333333332</v>
      </c>
      <c r="BK16" s="11">
        <v>2437.5666666666666</v>
      </c>
      <c r="BL16" s="3">
        <v>5681.333333333333</v>
      </c>
      <c r="BM16" s="11">
        <v>6242.2333333333336</v>
      </c>
      <c r="BN16" s="3">
        <v>1670.2</v>
      </c>
      <c r="BO16" s="11">
        <v>1838.6333333333332</v>
      </c>
      <c r="BP16" s="3">
        <v>308.92</v>
      </c>
      <c r="BQ16" s="11">
        <v>519.09666666666669</v>
      </c>
      <c r="BR16" s="3">
        <v>534.7299999999999</v>
      </c>
      <c r="BS16" s="11">
        <v>961.08333333333337</v>
      </c>
      <c r="BT16" s="3">
        <v>1590.0333333333335</v>
      </c>
      <c r="BU16" s="11">
        <v>1799.5</v>
      </c>
      <c r="BV16" s="5">
        <v>0.40666666666666645</v>
      </c>
      <c r="BW16" s="8">
        <v>0.42266666666666675</v>
      </c>
      <c r="BX16" s="5">
        <f t="shared" si="0"/>
        <v>1.1571360350879079</v>
      </c>
      <c r="BY16" s="8">
        <f t="shared" si="1"/>
        <v>1.1263073909643091</v>
      </c>
      <c r="BZ16" s="5">
        <v>0.20279967749999975</v>
      </c>
      <c r="CA16" s="31">
        <v>0.21911861250000009</v>
      </c>
      <c r="CB16" s="5">
        <v>0.38366666666666699</v>
      </c>
      <c r="CC16" s="8">
        <v>0.39500000000000002</v>
      </c>
      <c r="CD16" s="5">
        <v>0.18052239375000001</v>
      </c>
      <c r="CE16" s="29">
        <v>0.19133301375000003</v>
      </c>
      <c r="CF16" s="5">
        <v>0.21866666666666665</v>
      </c>
      <c r="CG16" s="8">
        <v>0.22233333333333336</v>
      </c>
      <c r="CH16" s="10">
        <v>0.82845971698593412</v>
      </c>
      <c r="CI16" s="29">
        <v>0.86141949339706947</v>
      </c>
      <c r="CJ16" s="3">
        <v>3026.7333333333336</v>
      </c>
      <c r="CK16" s="33">
        <v>2959.6000000000004</v>
      </c>
      <c r="CL16" s="3">
        <v>1763.9333333333332</v>
      </c>
      <c r="CM16" s="3">
        <v>1645.8000000000002</v>
      </c>
      <c r="CN16" s="2">
        <v>752.85333333333335</v>
      </c>
      <c r="CO16" s="3">
        <v>676.81500000000005</v>
      </c>
      <c r="CP16" s="2">
        <v>1119.3633333333335</v>
      </c>
      <c r="CQ16" s="3">
        <v>763.66499999999996</v>
      </c>
      <c r="CR16" s="2">
        <v>1480.7</v>
      </c>
      <c r="CS16" s="3">
        <v>1287.1500000000001</v>
      </c>
      <c r="CT16" s="2">
        <v>33.57566666666667</v>
      </c>
      <c r="CU16" s="3">
        <v>33.067499999999995</v>
      </c>
      <c r="CV16" s="2">
        <v>80.680333333333337</v>
      </c>
      <c r="CW16" s="3">
        <v>68.702500000000001</v>
      </c>
      <c r="CX16" s="2">
        <v>282.22666666666663</v>
      </c>
      <c r="CY16" s="3">
        <v>222.35499999999999</v>
      </c>
      <c r="CZ16" s="2">
        <v>2305.6</v>
      </c>
      <c r="DA16" s="3">
        <v>398.74</v>
      </c>
      <c r="DB16" s="2">
        <v>4817.833333333333</v>
      </c>
      <c r="DC16" s="11">
        <v>1081.7150000000001</v>
      </c>
      <c r="DD16" s="3">
        <v>3365.7333333333331</v>
      </c>
      <c r="DE16" s="11">
        <v>2526.65</v>
      </c>
      <c r="DF16" s="10">
        <v>0.77274273404134719</v>
      </c>
      <c r="DG16" s="37">
        <v>0.7980921132579899</v>
      </c>
      <c r="DH16" s="3">
        <v>160.886</v>
      </c>
      <c r="DI16" s="33">
        <v>157.83766666666668</v>
      </c>
    </row>
    <row r="17" spans="1:113" s="6" customFormat="1" x14ac:dyDescent="0.2">
      <c r="A17" s="44">
        <v>15</v>
      </c>
      <c r="B17" s="3">
        <v>12.91</v>
      </c>
      <c r="C17" s="11">
        <v>14.49</v>
      </c>
      <c r="D17" s="3">
        <v>3.23</v>
      </c>
      <c r="E17" s="11">
        <v>2.5666666666666664</v>
      </c>
      <c r="F17" s="3">
        <v>9.68</v>
      </c>
      <c r="G17" s="11">
        <v>11.923333333333334</v>
      </c>
      <c r="H17" s="3">
        <v>5.2324324324324323</v>
      </c>
      <c r="I17" s="11">
        <v>6.4450450450450454</v>
      </c>
      <c r="J17" s="3">
        <v>108.143</v>
      </c>
      <c r="K17" s="11">
        <v>109.44766666666668</v>
      </c>
      <c r="L17" s="3">
        <v>4175.1509272438407</v>
      </c>
      <c r="M17" s="11">
        <v>4247.2981345528269</v>
      </c>
      <c r="N17" s="3">
        <v>408.76891033635451</v>
      </c>
      <c r="O17" s="11">
        <v>282.47892173835072</v>
      </c>
      <c r="P17" s="3">
        <v>251.19878480343542</v>
      </c>
      <c r="Q17" s="11">
        <v>235.02176376377986</v>
      </c>
      <c r="R17" s="3">
        <v>2.0227811631226702</v>
      </c>
      <c r="S17" s="11">
        <v>262.1268328541413</v>
      </c>
      <c r="T17" s="3">
        <v>756.22248412225576</v>
      </c>
      <c r="U17" s="11">
        <v>522.58600521594883</v>
      </c>
      <c r="V17" s="3">
        <v>464.7177518863553</v>
      </c>
      <c r="W17" s="11">
        <v>434.79026296299287</v>
      </c>
      <c r="X17" s="3">
        <v>3.74214515177776</v>
      </c>
      <c r="Y17" s="11">
        <v>484.93464078016149</v>
      </c>
      <c r="Z17" s="3">
        <v>797.93690241746958</v>
      </c>
      <c r="AA17" s="11">
        <v>659.00208685401697</v>
      </c>
      <c r="AB17" s="3">
        <v>25.901578621826946</v>
      </c>
      <c r="AC17" s="11">
        <v>25.768774218198313</v>
      </c>
      <c r="AD17" s="3">
        <v>8.9000000000000057</v>
      </c>
      <c r="AE17" s="3">
        <v>6.7999999999999972</v>
      </c>
      <c r="AF17" s="9">
        <v>2.2109000000000001</v>
      </c>
      <c r="AG17" s="8">
        <v>2.2021666666666668</v>
      </c>
      <c r="AH17" s="5">
        <v>0.24919847281685356</v>
      </c>
      <c r="AI17" s="8">
        <v>0.24724185304111448</v>
      </c>
      <c r="AJ17" s="3">
        <v>1031.6666666666699</v>
      </c>
      <c r="AK17" s="11">
        <v>1116.6666666666667</v>
      </c>
      <c r="AL17" s="3">
        <v>2059.7999999999997</v>
      </c>
      <c r="AM17" s="11">
        <v>2037.7333333333333</v>
      </c>
      <c r="AN17" s="3">
        <v>7487.333333333333</v>
      </c>
      <c r="AO17" s="11">
        <v>3279.1333333333337</v>
      </c>
      <c r="AP17" s="3">
        <v>2575.0333333333333</v>
      </c>
      <c r="AQ17" s="11">
        <v>3279.1333333333337</v>
      </c>
      <c r="AR17" s="3">
        <v>445.67666666666673</v>
      </c>
      <c r="AS17" s="11">
        <v>438.41333333333336</v>
      </c>
      <c r="AT17" s="5">
        <v>0.3244933333333333</v>
      </c>
      <c r="AU17" s="8">
        <v>0.34277333333333332</v>
      </c>
      <c r="AV17" s="3">
        <v>3222.9632568759553</v>
      </c>
      <c r="AW17" s="11">
        <v>3260.0935336660696</v>
      </c>
      <c r="AX17" s="10">
        <v>0.307369932773017</v>
      </c>
      <c r="AY17" s="29">
        <v>0.32805187045145606</v>
      </c>
      <c r="AZ17" s="5">
        <v>0.46300000000000008</v>
      </c>
      <c r="BA17" s="8">
        <v>0.47033333333333333</v>
      </c>
      <c r="BB17" s="5">
        <v>0.26288306625000013</v>
      </c>
      <c r="BC17" s="31">
        <v>0.27126816375000001</v>
      </c>
      <c r="BD17" s="5">
        <v>2.1289333333333329</v>
      </c>
      <c r="BE17" s="8">
        <v>2.0936000000000003</v>
      </c>
      <c r="BF17" s="5">
        <v>0.23102498640842672</v>
      </c>
      <c r="BG17" s="8">
        <v>0.22343728882093103</v>
      </c>
      <c r="BH17" s="3">
        <v>1045.0333333333333</v>
      </c>
      <c r="BI17" s="11">
        <v>1133.8333333333333</v>
      </c>
      <c r="BJ17" s="3">
        <v>2050.1333333333332</v>
      </c>
      <c r="BK17" s="11">
        <v>2113.2999999999997</v>
      </c>
      <c r="BL17" s="3">
        <v>5421.1</v>
      </c>
      <c r="BM17" s="11">
        <v>5314.7666666666664</v>
      </c>
      <c r="BN17" s="3">
        <v>1554.5333333333335</v>
      </c>
      <c r="BO17" s="11">
        <v>1743.4666666666665</v>
      </c>
      <c r="BP17" s="3">
        <v>708.50666666666666</v>
      </c>
      <c r="BQ17" s="11">
        <v>635.54333333333341</v>
      </c>
      <c r="BR17" s="3">
        <v>1296.7300000000002</v>
      </c>
      <c r="BS17" s="11">
        <v>993.95333333333326</v>
      </c>
      <c r="BT17" s="3">
        <v>1366.9666666666665</v>
      </c>
      <c r="BU17" s="11">
        <v>1221.6333333333334</v>
      </c>
      <c r="BV17" s="5">
        <v>0.45066666666666655</v>
      </c>
      <c r="BW17" s="8">
        <v>0.43966666666666665</v>
      </c>
      <c r="BX17" s="5">
        <f t="shared" si="0"/>
        <v>1.0786645924796121</v>
      </c>
      <c r="BY17" s="8">
        <f t="shared" si="1"/>
        <v>1.1065380104896507</v>
      </c>
      <c r="BZ17" s="5">
        <v>0.24914702249999987</v>
      </c>
      <c r="CA17" s="31">
        <v>0.23705578875</v>
      </c>
      <c r="CB17" s="5">
        <v>0.4366666666666667</v>
      </c>
      <c r="CC17" s="8">
        <v>0.432</v>
      </c>
      <c r="CD17" s="5">
        <v>0.23574315625</v>
      </c>
      <c r="CE17" s="29">
        <v>0.22891226249999999</v>
      </c>
      <c r="CF17" s="5">
        <v>0.18933333333333335</v>
      </c>
      <c r="CG17" s="8">
        <v>0.18299999999999997</v>
      </c>
      <c r="CH17" s="10">
        <v>1.2349606623012874</v>
      </c>
      <c r="CI17" s="29">
        <v>1.2516208312405828</v>
      </c>
      <c r="CJ17" s="3">
        <v>2839.1666666666665</v>
      </c>
      <c r="CK17" s="33">
        <v>2940.4</v>
      </c>
      <c r="CL17" s="3">
        <v>1343.7</v>
      </c>
      <c r="CM17" s="11">
        <v>1346.2666666666667</v>
      </c>
      <c r="CN17" s="3">
        <v>581.99</v>
      </c>
      <c r="CO17" s="11">
        <v>597.85666666666668</v>
      </c>
      <c r="CP17" s="3">
        <v>715.29999999999984</v>
      </c>
      <c r="CQ17" s="11">
        <v>739.18999999999994</v>
      </c>
      <c r="CR17" s="3">
        <v>1159.0333333333333</v>
      </c>
      <c r="CS17" s="11">
        <v>1200.7333333333333</v>
      </c>
      <c r="CT17" s="3">
        <v>27.352666666666664</v>
      </c>
      <c r="CU17" s="11">
        <v>28.116666666666664</v>
      </c>
      <c r="CV17" s="3">
        <v>59.746333333333332</v>
      </c>
      <c r="CW17" s="11">
        <v>61.326333333333338</v>
      </c>
      <c r="CX17" s="3">
        <v>200.81333333333336</v>
      </c>
      <c r="CY17" s="11">
        <v>208.58333333333334</v>
      </c>
      <c r="CZ17" s="3">
        <v>1068.5766666666666</v>
      </c>
      <c r="DA17" s="11">
        <v>1076.48</v>
      </c>
      <c r="DB17" s="3">
        <v>1871.3000000000002</v>
      </c>
      <c r="DC17" s="11">
        <v>1958.2</v>
      </c>
      <c r="DD17" s="3">
        <v>2514.0666666666666</v>
      </c>
      <c r="DE17" s="11">
        <v>2630.9333333333334</v>
      </c>
      <c r="DF17" s="10">
        <v>0.8303792319168678</v>
      </c>
      <c r="DG17" s="37">
        <v>0.7683044539139976</v>
      </c>
      <c r="DH17" s="3">
        <v>99.441333333333333</v>
      </c>
      <c r="DI17" s="33">
        <v>102.468</v>
      </c>
    </row>
    <row r="18" spans="1:113" s="6" customFormat="1" x14ac:dyDescent="0.2">
      <c r="A18" s="44">
        <v>16</v>
      </c>
      <c r="B18" s="3">
        <v>13.853333333333333</v>
      </c>
      <c r="C18" s="3">
        <v>16.650000000000002</v>
      </c>
      <c r="D18" s="2">
        <v>4.1566666666666663</v>
      </c>
      <c r="E18" s="3">
        <v>3.8125</v>
      </c>
      <c r="F18" s="2">
        <v>9.6966666666666672</v>
      </c>
      <c r="G18" s="11">
        <v>12.837500000000002</v>
      </c>
      <c r="H18" s="3">
        <v>4.2343522561863178</v>
      </c>
      <c r="I18" s="11">
        <v>5.6058951965065509</v>
      </c>
      <c r="J18" s="3">
        <v>117.319</v>
      </c>
      <c r="K18" s="3">
        <v>107.95775</v>
      </c>
      <c r="L18" s="2">
        <v>3822.086519463151</v>
      </c>
      <c r="M18" s="3">
        <v>3504.4355682794326</v>
      </c>
      <c r="N18" s="2">
        <v>282.07264870180518</v>
      </c>
      <c r="O18" s="3">
        <v>219.70219312386072</v>
      </c>
      <c r="P18" s="1">
        <v>408.94778190709098</v>
      </c>
      <c r="Q18" s="6">
        <v>349.03602242230664</v>
      </c>
      <c r="R18" s="1">
        <v>465.27536549955482</v>
      </c>
      <c r="S18" s="6">
        <v>169.93706489279683</v>
      </c>
      <c r="T18" s="1">
        <v>645.94636552713393</v>
      </c>
      <c r="U18" s="6">
        <v>503.11802225364096</v>
      </c>
      <c r="V18" s="1">
        <v>936.49042056723829</v>
      </c>
      <c r="W18" s="7">
        <v>799.29249134708232</v>
      </c>
      <c r="X18" s="6">
        <v>1065.4805869939803</v>
      </c>
      <c r="Y18" s="6">
        <v>389.15587860450466</v>
      </c>
      <c r="Z18" s="1">
        <v>902.63782704406481</v>
      </c>
      <c r="AA18" s="6">
        <v>625.13397868431548</v>
      </c>
      <c r="AB18" s="2">
        <v>30.695014202995747</v>
      </c>
      <c r="AC18" s="3">
        <v>30.806030784867264</v>
      </c>
      <c r="AD18" s="2">
        <v>9</v>
      </c>
      <c r="AE18" s="3">
        <v>7.6</v>
      </c>
      <c r="AF18" s="9">
        <v>1.9453499999999999</v>
      </c>
      <c r="AG18" s="5">
        <v>1.8719000000000001</v>
      </c>
      <c r="AH18" s="4">
        <v>0.19295637844036698</v>
      </c>
      <c r="AI18" s="5">
        <v>0.17861885507985051</v>
      </c>
      <c r="AJ18" s="2">
        <v>1127.7</v>
      </c>
      <c r="AK18" s="11">
        <v>1284.9333333333334</v>
      </c>
      <c r="AL18" s="3">
        <v>2066.8000000000002</v>
      </c>
      <c r="AM18" s="11">
        <v>2050.0333333333333</v>
      </c>
      <c r="AN18" s="3">
        <v>9892.15</v>
      </c>
      <c r="AO18" s="11">
        <v>13070.333333333334</v>
      </c>
      <c r="AP18" s="3">
        <v>2729.6499999999996</v>
      </c>
      <c r="AQ18" s="11">
        <v>4029.8333333333335</v>
      </c>
      <c r="AR18" s="3">
        <v>433.30500000000001</v>
      </c>
      <c r="AS18" s="11">
        <v>364.26666666666665</v>
      </c>
      <c r="AT18" s="5">
        <v>0.22825000000000001</v>
      </c>
      <c r="AU18" s="8">
        <v>0.19857333333333335</v>
      </c>
      <c r="AV18" s="3">
        <v>4943.3469584570412</v>
      </c>
      <c r="AW18" s="11">
        <v>6498.8590150453847</v>
      </c>
      <c r="AX18" s="10">
        <v>0.23076557004678813</v>
      </c>
      <c r="AY18" s="29">
        <v>0.24904259772648055</v>
      </c>
      <c r="AZ18" s="5">
        <v>0.40050000000000008</v>
      </c>
      <c r="BA18" s="8">
        <v>0.38000000000000017</v>
      </c>
      <c r="BB18" s="5">
        <v>0.19669356562500007</v>
      </c>
      <c r="BC18" s="31">
        <v>0.17707622250000019</v>
      </c>
      <c r="BD18" s="5">
        <v>1.9326000000000001</v>
      </c>
      <c r="BE18" s="8">
        <v>1.9014000000000002</v>
      </c>
      <c r="BF18" s="5">
        <v>0.19040418144750251</v>
      </c>
      <c r="BG18" s="8">
        <v>0.18440288073394495</v>
      </c>
      <c r="BH18" s="3">
        <v>1076.8</v>
      </c>
      <c r="BI18" s="11">
        <v>1071.75</v>
      </c>
      <c r="BJ18" s="3">
        <v>1987.6666666666667</v>
      </c>
      <c r="BK18" s="11">
        <v>1966.9</v>
      </c>
      <c r="BL18" s="3">
        <v>4290.9666666666662</v>
      </c>
      <c r="BM18" s="11">
        <v>5034</v>
      </c>
      <c r="BN18" s="3">
        <v>1109.4333333333334</v>
      </c>
      <c r="BO18" s="11">
        <v>1349.85</v>
      </c>
      <c r="BP18" s="3">
        <v>697.2166666666667</v>
      </c>
      <c r="BQ18" s="11">
        <v>723.11500000000001</v>
      </c>
      <c r="BR18" s="3">
        <v>788.35333333333335</v>
      </c>
      <c r="BS18" s="11">
        <v>1348.65</v>
      </c>
      <c r="BT18" s="3">
        <v>710.86</v>
      </c>
      <c r="BU18" s="11">
        <v>1314.15</v>
      </c>
      <c r="BV18" s="5">
        <v>0.37533333333333324</v>
      </c>
      <c r="BW18" s="8">
        <v>0.37750000000000006</v>
      </c>
      <c r="BX18" s="5">
        <f t="shared" si="0"/>
        <v>1.0134041015983053</v>
      </c>
      <c r="BY18" s="8">
        <f t="shared" si="1"/>
        <v>0.9686337565276999</v>
      </c>
      <c r="BZ18" s="5">
        <v>0.17277290249999991</v>
      </c>
      <c r="CA18" s="31">
        <v>0.17477312062500006</v>
      </c>
      <c r="CB18" s="5">
        <v>0.28566666666666668</v>
      </c>
      <c r="CC18" s="8">
        <v>0.31766666666666671</v>
      </c>
      <c r="CD18" s="5">
        <v>0.10035507375000001</v>
      </c>
      <c r="CE18" s="29">
        <v>0.12396774375000001</v>
      </c>
      <c r="CF18" s="5">
        <v>0.27800000000000002</v>
      </c>
      <c r="CG18" s="8">
        <v>0.27566666666666667</v>
      </c>
      <c r="CH18" s="10">
        <v>0.36143363434973047</v>
      </c>
      <c r="CI18" s="29">
        <v>0.44987817361310128</v>
      </c>
      <c r="CJ18" s="3">
        <v>1916.2</v>
      </c>
      <c r="CK18" s="33">
        <v>1955.2333333333333</v>
      </c>
      <c r="CL18" s="3">
        <v>1220.0999999999999</v>
      </c>
      <c r="CM18" s="11">
        <v>1175</v>
      </c>
      <c r="CN18" s="3">
        <v>652.36</v>
      </c>
      <c r="CO18" s="11">
        <v>574.13</v>
      </c>
      <c r="CP18" s="3">
        <v>709.6</v>
      </c>
      <c r="CQ18" s="11">
        <v>607.29</v>
      </c>
      <c r="CR18" s="3">
        <v>1059.8</v>
      </c>
      <c r="CS18" s="11">
        <v>876.14</v>
      </c>
      <c r="CT18" s="3">
        <v>31.596</v>
      </c>
      <c r="CU18" s="11">
        <v>28.245000000000001</v>
      </c>
      <c r="CV18" s="3">
        <v>65.665999999999997</v>
      </c>
      <c r="CW18" s="11">
        <v>57.692999999999998</v>
      </c>
      <c r="CX18" s="3">
        <v>195.53</v>
      </c>
      <c r="CY18" s="11">
        <v>162.31</v>
      </c>
      <c r="CZ18" s="3">
        <v>671.15</v>
      </c>
      <c r="DA18" s="11">
        <v>268.45999999999998</v>
      </c>
      <c r="DB18" s="3">
        <v>908.03</v>
      </c>
      <c r="DC18" s="11">
        <v>402.69</v>
      </c>
      <c r="DD18" s="3">
        <v>1763.9</v>
      </c>
      <c r="DE18" s="11">
        <v>1261.8</v>
      </c>
      <c r="DF18" s="10">
        <v>0.92426850258175575</v>
      </c>
      <c r="DG18" s="37">
        <v>1.0935602836879432</v>
      </c>
      <c r="DH18" s="3">
        <v>105.90933333333332</v>
      </c>
      <c r="DI18" s="33">
        <v>103.849</v>
      </c>
    </row>
    <row r="19" spans="1:113" s="6" customFormat="1" ht="16" thickBot="1" x14ac:dyDescent="0.25">
      <c r="A19" s="44">
        <v>17</v>
      </c>
      <c r="B19" s="49"/>
      <c r="C19" s="50"/>
      <c r="D19" s="51"/>
      <c r="E19" s="50"/>
      <c r="F19" s="51"/>
      <c r="G19" s="50"/>
      <c r="H19" s="51"/>
      <c r="I19" s="50"/>
      <c r="J19" s="52">
        <v>132.477</v>
      </c>
      <c r="K19" s="53">
        <v>137.18866666666668</v>
      </c>
      <c r="L19" s="52">
        <v>4410.3485532648301</v>
      </c>
      <c r="M19" s="53">
        <v>5302.8349767188811</v>
      </c>
      <c r="N19" s="51"/>
      <c r="O19" s="50"/>
      <c r="P19" s="51"/>
      <c r="Q19" s="50"/>
      <c r="R19" s="51"/>
      <c r="S19" s="50"/>
      <c r="T19" s="51"/>
      <c r="U19" s="50"/>
      <c r="V19" s="51"/>
      <c r="W19" s="50"/>
      <c r="X19" s="51"/>
      <c r="Y19" s="50"/>
      <c r="Z19" s="51"/>
      <c r="AA19" s="50"/>
      <c r="AB19" s="52">
        <v>30.037761959183886</v>
      </c>
      <c r="AC19" s="53">
        <v>25.870815755905703</v>
      </c>
      <c r="AD19" s="52">
        <v>10.4</v>
      </c>
      <c r="AE19" s="53">
        <v>10.199999999999999</v>
      </c>
      <c r="AF19" s="54">
        <v>2.2336666666666667</v>
      </c>
      <c r="AG19" s="55">
        <v>2.2310666666666665</v>
      </c>
      <c r="AH19" s="56">
        <v>0.25433448284063881</v>
      </c>
      <c r="AI19" s="55">
        <v>0.25386774889568464</v>
      </c>
      <c r="AJ19" s="53">
        <v>1461.1000000000001</v>
      </c>
      <c r="AK19" s="57">
        <v>1499.0999999999997</v>
      </c>
      <c r="AL19" s="53">
        <v>2872.6</v>
      </c>
      <c r="AM19" s="57">
        <v>2907.9</v>
      </c>
      <c r="AN19" s="53">
        <v>15752.333333333334</v>
      </c>
      <c r="AO19" s="57">
        <v>16633.333333333332</v>
      </c>
      <c r="AP19" s="53">
        <v>4131.2333333333327</v>
      </c>
      <c r="AQ19" s="57">
        <v>3646.4666666666672</v>
      </c>
      <c r="AR19" s="53">
        <v>467.8300000000001</v>
      </c>
      <c r="AS19" s="57">
        <v>462.35000000000008</v>
      </c>
      <c r="AT19" s="56">
        <v>0.28433333333333338</v>
      </c>
      <c r="AU19" s="55">
        <v>0.27021999999999996</v>
      </c>
      <c r="AV19" s="53">
        <v>5293.3198934475095</v>
      </c>
      <c r="AW19" s="57">
        <v>5548.6628479415258</v>
      </c>
      <c r="AX19" s="58">
        <v>0.33827703577861717</v>
      </c>
      <c r="AY19" s="59">
        <v>0.32539333068256798</v>
      </c>
      <c r="AZ19" s="56">
        <v>0.48100000000000015</v>
      </c>
      <c r="BA19" s="55">
        <v>0.47866666666666663</v>
      </c>
      <c r="BB19" s="56">
        <v>0.28376855625000025</v>
      </c>
      <c r="BC19" s="60">
        <v>0.28101398999999999</v>
      </c>
      <c r="BD19" s="56">
        <v>2.0931666666666668</v>
      </c>
      <c r="BE19" s="55">
        <v>2.2441499999999999</v>
      </c>
      <c r="BF19" s="56">
        <v>0.22339989687393813</v>
      </c>
      <c r="BG19" s="55">
        <v>0.25682349362895002</v>
      </c>
      <c r="BH19" s="53">
        <v>1385.5</v>
      </c>
      <c r="BI19" s="57">
        <v>1473.3</v>
      </c>
      <c r="BJ19" s="53">
        <v>2633.2666666666669</v>
      </c>
      <c r="BK19" s="57">
        <v>2942.95</v>
      </c>
      <c r="BL19" s="53">
        <v>8357</v>
      </c>
      <c r="BM19" s="57">
        <v>10063.6</v>
      </c>
      <c r="BN19" s="53">
        <v>2503.4999999999995</v>
      </c>
      <c r="BO19" s="57">
        <v>3252.3999999999996</v>
      </c>
      <c r="BP19" s="53">
        <v>1814.5666666666666</v>
      </c>
      <c r="BQ19" s="57">
        <v>2237.85</v>
      </c>
      <c r="BR19" s="53">
        <v>2790.6666666666665</v>
      </c>
      <c r="BS19" s="57">
        <v>3342.8</v>
      </c>
      <c r="BT19" s="53">
        <v>2684.166666666667</v>
      </c>
      <c r="BU19" s="57">
        <v>3335.2</v>
      </c>
      <c r="BV19" s="56">
        <v>0.44333333333333336</v>
      </c>
      <c r="BW19" s="55">
        <v>0.46500000000000008</v>
      </c>
      <c r="BX19" s="56">
        <f t="shared" si="0"/>
        <v>1.1384718005673775</v>
      </c>
      <c r="BY19" s="55">
        <f t="shared" si="1"/>
        <v>0.98849114350287692</v>
      </c>
      <c r="BZ19" s="56">
        <v>0.24146415750000005</v>
      </c>
      <c r="CA19" s="60">
        <v>0.26519005125000011</v>
      </c>
      <c r="CB19" s="56">
        <v>0.433</v>
      </c>
      <c r="CC19" s="55">
        <v>0.45100000000000001</v>
      </c>
      <c r="CD19" s="56">
        <v>0.23026890375</v>
      </c>
      <c r="CE19" s="59">
        <v>0.24945562875000002</v>
      </c>
      <c r="CF19" s="56">
        <v>0.24666666666666667</v>
      </c>
      <c r="CG19" s="55">
        <v>0.26133333333333336</v>
      </c>
      <c r="CH19" s="58">
        <v>0.93624610161315525</v>
      </c>
      <c r="CI19" s="59">
        <v>0.95631820661320666</v>
      </c>
      <c r="CJ19" s="53">
        <v>2664.6</v>
      </c>
      <c r="CK19" s="61">
        <v>2633.2333333333336</v>
      </c>
      <c r="CL19" s="53">
        <v>1582.7</v>
      </c>
      <c r="CM19" s="57">
        <v>1740.7333333333336</v>
      </c>
      <c r="CN19" s="53">
        <v>741.38499999999999</v>
      </c>
      <c r="CO19" s="57">
        <v>727.82333333333338</v>
      </c>
      <c r="CP19" s="53">
        <v>893.38</v>
      </c>
      <c r="CQ19" s="57">
        <v>901.39666666666665</v>
      </c>
      <c r="CR19" s="53">
        <v>1312.25</v>
      </c>
      <c r="CS19" s="57">
        <v>1363.7</v>
      </c>
      <c r="CT19" s="53">
        <v>34.075000000000003</v>
      </c>
      <c r="CU19" s="57">
        <v>32.914666666666669</v>
      </c>
      <c r="CV19" s="53">
        <v>74.948499999999996</v>
      </c>
      <c r="CW19" s="57">
        <v>73.296000000000006</v>
      </c>
      <c r="CX19" s="53">
        <v>240.73500000000001</v>
      </c>
      <c r="CY19" s="57">
        <v>246.79666666666671</v>
      </c>
      <c r="CZ19" s="53">
        <v>1922.65</v>
      </c>
      <c r="DA19" s="57">
        <v>2279.2333333333336</v>
      </c>
      <c r="DB19" s="53">
        <v>2489.1499999999996</v>
      </c>
      <c r="DC19" s="57">
        <v>2875.4</v>
      </c>
      <c r="DD19" s="53">
        <v>2671.15</v>
      </c>
      <c r="DE19" s="57">
        <v>2999.3666666666668</v>
      </c>
      <c r="DF19" s="58">
        <v>0.92316926770708285</v>
      </c>
      <c r="DG19" s="62">
        <v>0.86118877101604663</v>
      </c>
      <c r="DH19" s="63"/>
      <c r="DI19" s="64"/>
    </row>
    <row r="20" spans="1:113" s="6" customFormat="1" x14ac:dyDescent="0.2">
      <c r="B20" s="3"/>
      <c r="C20" s="3"/>
      <c r="AF20" s="10"/>
      <c r="AG20" s="10"/>
      <c r="AH20" s="5"/>
      <c r="AI20" s="5"/>
      <c r="AT20" s="5"/>
      <c r="AU20" s="5"/>
      <c r="AX20" s="10"/>
      <c r="AY20" s="10"/>
      <c r="AZ20" s="10"/>
      <c r="BA20" s="10"/>
      <c r="BB20" s="5"/>
      <c r="BC20" s="5"/>
      <c r="BD20" s="10"/>
      <c r="BE20" s="10"/>
      <c r="BF20" s="5"/>
      <c r="BG20" s="5"/>
      <c r="BV20" s="10"/>
      <c r="BW20" s="10"/>
      <c r="BX20" s="3"/>
      <c r="BY20" s="3"/>
      <c r="BZ20" s="5"/>
      <c r="CA20" s="5"/>
      <c r="CB20" s="10"/>
      <c r="CC20" s="10"/>
      <c r="CD20" s="5"/>
      <c r="CE20" s="5"/>
      <c r="CF20" s="10"/>
      <c r="CG20" s="10"/>
      <c r="CH20" s="10"/>
      <c r="CI20" s="10"/>
      <c r="DF20" s="10"/>
      <c r="DG20" s="10"/>
    </row>
    <row r="21" spans="1:113" s="6" customFormat="1" x14ac:dyDescent="0.2">
      <c r="B21" s="3"/>
      <c r="C21" s="3"/>
      <c r="AF21" s="10"/>
      <c r="AG21" s="10"/>
      <c r="AH21" s="10"/>
      <c r="AI21" s="10"/>
      <c r="AT21" s="5"/>
      <c r="AU21" s="5"/>
      <c r="AX21" s="10"/>
      <c r="AY21" s="10"/>
      <c r="AZ21" s="10"/>
      <c r="BA21" s="10"/>
      <c r="BB21" s="5"/>
      <c r="BC21" s="5"/>
      <c r="BD21" s="10"/>
      <c r="BE21" s="10"/>
      <c r="BF21" s="5"/>
      <c r="BG21" s="5"/>
      <c r="BV21" s="10"/>
      <c r="BW21" s="10"/>
      <c r="BX21" s="3"/>
      <c r="BY21" s="3"/>
      <c r="BZ21" s="5"/>
      <c r="CA21" s="5"/>
      <c r="CB21" s="10"/>
      <c r="CC21" s="10"/>
      <c r="CD21" s="5"/>
      <c r="CE21" s="5"/>
      <c r="CF21" s="10"/>
      <c r="CG21" s="10"/>
      <c r="CH21" s="10"/>
      <c r="CI21" s="10"/>
      <c r="DF21" s="10"/>
      <c r="DG21" s="10"/>
    </row>
    <row r="22" spans="1:113" s="6" customFormat="1" ht="14.5" customHeight="1" x14ac:dyDescent="0.2">
      <c r="C22" s="3"/>
      <c r="E22" s="3"/>
      <c r="G22" s="3"/>
      <c r="I22" s="3"/>
      <c r="AG22" s="10"/>
      <c r="AI22" s="10"/>
      <c r="AU22" s="5"/>
      <c r="AY22" s="10"/>
      <c r="BA22" s="10"/>
      <c r="BC22" s="5"/>
      <c r="BE22" s="5"/>
      <c r="BG22" s="5"/>
      <c r="BI22" s="5"/>
      <c r="BK22" s="5"/>
      <c r="BM22" s="5"/>
      <c r="BO22" s="5"/>
      <c r="BQ22" s="5"/>
      <c r="BS22" s="5"/>
      <c r="BU22" s="5"/>
      <c r="BW22" s="5"/>
      <c r="BY22" s="5"/>
      <c r="CA22" s="5"/>
      <c r="CC22" s="10"/>
      <c r="CE22" s="5"/>
      <c r="CG22" s="10"/>
      <c r="CI22" s="10"/>
      <c r="CK22" s="10"/>
      <c r="CM22" s="10"/>
      <c r="CO22" s="10"/>
      <c r="CQ22" s="10"/>
      <c r="CS22" s="10"/>
      <c r="CU22" s="10"/>
      <c r="CW22" s="10"/>
      <c r="CY22" s="10"/>
      <c r="DA22" s="10"/>
      <c r="DC22" s="10"/>
      <c r="DE22" s="10"/>
      <c r="DG22" s="10"/>
      <c r="DI22" s="10"/>
    </row>
    <row r="23" spans="1:113" s="6" customFormat="1" x14ac:dyDescent="0.2">
      <c r="BF23" s="10"/>
    </row>
    <row r="24" spans="1:113" s="10" customFormat="1" x14ac:dyDescent="0.2"/>
    <row r="25" spans="1:113" x14ac:dyDescent="0.2">
      <c r="A25" s="6"/>
      <c r="C25" s="3"/>
    </row>
    <row r="26" spans="1:113" x14ac:dyDescent="0.2">
      <c r="A26" s="6"/>
      <c r="B26" s="6"/>
      <c r="C26" s="3"/>
      <c r="D26" s="6"/>
      <c r="E26" s="3"/>
      <c r="F26" s="6"/>
      <c r="G26" s="3"/>
      <c r="H26" s="6"/>
      <c r="I26" s="3"/>
      <c r="J26" s="6"/>
      <c r="K26" s="3"/>
      <c r="L26" s="6"/>
      <c r="M26" s="3"/>
      <c r="N26" s="6"/>
      <c r="O26" s="3"/>
      <c r="P26" s="6"/>
      <c r="Q26" s="3"/>
      <c r="R26" s="6"/>
      <c r="S26" s="3"/>
      <c r="T26" s="6"/>
      <c r="U26" s="3"/>
      <c r="V26" s="6"/>
      <c r="W26" s="3"/>
      <c r="X26" s="6"/>
      <c r="Y26" s="3"/>
      <c r="Z26" s="6"/>
      <c r="AA26" s="3"/>
      <c r="AB26" s="6"/>
      <c r="AC26" s="3"/>
      <c r="AD26" s="6"/>
      <c r="AE26" s="3"/>
      <c r="AF26" s="6"/>
      <c r="AG26" s="3"/>
      <c r="AH26" s="6"/>
      <c r="AI26" s="3"/>
      <c r="AJ26" s="6"/>
      <c r="AK26" s="3"/>
      <c r="AL26" s="6"/>
      <c r="AM26" s="3"/>
      <c r="AN26" s="6"/>
      <c r="AO26" s="3"/>
      <c r="AP26" s="6"/>
      <c r="AQ26" s="3"/>
      <c r="AR26" s="6"/>
      <c r="AS26" s="3"/>
      <c r="AT26" s="6"/>
      <c r="AU26" s="3"/>
      <c r="AV26" s="6"/>
      <c r="AW26" s="3"/>
      <c r="AX26" s="6"/>
      <c r="AY26" s="3"/>
      <c r="AZ26" s="6"/>
      <c r="BA26" s="3"/>
      <c r="BB26" s="6"/>
      <c r="BC26" s="3"/>
      <c r="BD26" s="6"/>
      <c r="BE26" s="3"/>
      <c r="BF26" s="6"/>
      <c r="BG26" s="10"/>
      <c r="BH26" s="6"/>
      <c r="BI26" s="3"/>
      <c r="BJ26" s="6"/>
      <c r="BK26" s="3"/>
      <c r="BL26" s="6"/>
      <c r="BM26" s="3"/>
      <c r="BN26" s="6"/>
      <c r="BO26" s="3"/>
      <c r="BP26" s="6"/>
      <c r="BQ26" s="3"/>
      <c r="BR26" s="6"/>
      <c r="BS26" s="3"/>
      <c r="BT26" s="6"/>
      <c r="BU26" s="3"/>
      <c r="BV26" s="6"/>
      <c r="BW26" s="3"/>
      <c r="BX26" s="6"/>
      <c r="BY26" s="3"/>
      <c r="BZ26" s="6"/>
      <c r="CA26" s="3"/>
      <c r="CB26" s="6"/>
      <c r="CC26" s="3"/>
      <c r="CD26" s="6"/>
      <c r="CE26" s="3"/>
      <c r="CF26" s="6"/>
      <c r="CG26" s="3"/>
      <c r="CH26" s="6"/>
      <c r="CI26" s="3"/>
      <c r="CJ26" s="6"/>
      <c r="CK26" s="3"/>
      <c r="CL26" s="6"/>
      <c r="CM26" s="3"/>
      <c r="CN26" s="6"/>
      <c r="CO26" s="3"/>
      <c r="CP26" s="6"/>
      <c r="CQ26" s="3"/>
      <c r="CR26" s="6"/>
      <c r="CS26" s="3"/>
      <c r="CT26" s="6"/>
      <c r="CU26" s="3"/>
      <c r="CV26" s="6"/>
      <c r="CW26" s="3"/>
      <c r="CX26" s="6"/>
      <c r="CY26" s="3"/>
      <c r="CZ26" s="6"/>
      <c r="DA26" s="3"/>
      <c r="DB26" s="6"/>
      <c r="DC26" s="3"/>
      <c r="DD26" s="6"/>
      <c r="DE26" s="3"/>
      <c r="DF26" s="6"/>
      <c r="DG26" s="3"/>
      <c r="DH26" s="6"/>
      <c r="DI26" s="3"/>
    </row>
    <row r="27" spans="1:113" x14ac:dyDescent="0.2">
      <c r="A27" s="6"/>
      <c r="B27" s="6"/>
      <c r="C27" s="3"/>
      <c r="D27" s="6"/>
      <c r="E27" s="3"/>
      <c r="F27" s="6"/>
      <c r="G27" s="3"/>
      <c r="H27" s="6"/>
      <c r="I27" s="3"/>
      <c r="J27" s="6"/>
      <c r="K27" s="3"/>
      <c r="L27" s="6"/>
      <c r="M27" s="3"/>
      <c r="N27" s="6"/>
      <c r="O27" s="3"/>
      <c r="P27" s="6"/>
      <c r="Q27" s="3"/>
      <c r="R27" s="6"/>
      <c r="S27" s="3"/>
      <c r="T27" s="6"/>
      <c r="U27" s="3"/>
      <c r="V27" s="6"/>
      <c r="W27" s="3"/>
      <c r="X27" s="6"/>
      <c r="Y27" s="3"/>
      <c r="Z27" s="6"/>
      <c r="AA27" s="3"/>
      <c r="AB27" s="6"/>
      <c r="AC27" s="3"/>
      <c r="AD27" s="6"/>
      <c r="AE27" s="3"/>
      <c r="AF27" s="6"/>
      <c r="AG27" s="10"/>
      <c r="AH27" s="6"/>
      <c r="AI27" s="10"/>
      <c r="AJ27" s="6"/>
      <c r="AK27" s="3"/>
      <c r="AL27" s="6"/>
      <c r="AM27" s="3"/>
      <c r="AN27" s="6"/>
      <c r="AO27" s="3"/>
      <c r="AP27" s="6"/>
      <c r="AQ27" s="3"/>
      <c r="AR27" s="6"/>
      <c r="AS27" s="3"/>
      <c r="AT27" s="6"/>
      <c r="AU27" s="5"/>
      <c r="AV27" s="6"/>
      <c r="AW27" s="3"/>
      <c r="AX27" s="6"/>
      <c r="AY27" s="10"/>
      <c r="AZ27" s="6"/>
      <c r="BA27" s="5"/>
      <c r="BB27" s="6"/>
      <c r="BC27" s="5"/>
      <c r="BD27" s="6"/>
      <c r="BE27" s="10"/>
      <c r="BF27" s="6"/>
      <c r="BG27" s="5"/>
      <c r="BH27" s="6"/>
      <c r="BI27" s="3"/>
      <c r="BJ27" s="6"/>
      <c r="BK27" s="3"/>
      <c r="BL27" s="6"/>
      <c r="BM27" s="3"/>
      <c r="BN27" s="6"/>
      <c r="BO27" s="3"/>
      <c r="BP27" s="6"/>
      <c r="BQ27" s="3"/>
      <c r="BR27" s="6"/>
      <c r="BS27" s="3"/>
      <c r="BT27" s="6"/>
      <c r="BU27" s="3"/>
      <c r="BV27" s="6"/>
      <c r="BW27" s="10"/>
      <c r="BX27" s="6"/>
      <c r="BY27" s="10"/>
      <c r="BZ27" s="6"/>
      <c r="CA27" s="5"/>
      <c r="CB27" s="6"/>
      <c r="CC27" s="10"/>
      <c r="CD27" s="6"/>
      <c r="CE27" s="5"/>
      <c r="CF27" s="6"/>
      <c r="CG27" s="10"/>
      <c r="CH27" s="6"/>
      <c r="CI27" s="10"/>
      <c r="CJ27" s="6"/>
      <c r="CK27" s="3"/>
      <c r="CL27" s="6"/>
      <c r="CM27" s="3"/>
      <c r="CN27" s="6"/>
      <c r="CO27" s="3"/>
      <c r="CP27" s="6"/>
      <c r="CQ27" s="3"/>
      <c r="CR27" s="6"/>
      <c r="CS27" s="3"/>
      <c r="CT27" s="6"/>
      <c r="CU27" s="3"/>
      <c r="CV27" s="6"/>
      <c r="CW27" s="3"/>
      <c r="CX27" s="6"/>
      <c r="CY27" s="3"/>
      <c r="CZ27" s="6"/>
      <c r="DA27" s="3"/>
      <c r="DB27" s="6"/>
      <c r="DC27" s="3"/>
      <c r="DD27" s="6"/>
      <c r="DE27" s="3"/>
      <c r="DF27" s="6"/>
      <c r="DG27" s="10"/>
      <c r="DH27" s="6"/>
      <c r="DI27" s="3"/>
    </row>
    <row r="28" spans="1:113" x14ac:dyDescent="0.2">
      <c r="A28" s="6"/>
      <c r="B28" s="6"/>
      <c r="C28" s="3"/>
      <c r="D28" s="6"/>
      <c r="E28" s="3"/>
      <c r="F28" s="6"/>
      <c r="G28" s="3"/>
      <c r="H28" s="6"/>
      <c r="I28" s="3"/>
      <c r="J28" s="6"/>
      <c r="K28" s="3"/>
      <c r="L28" s="6"/>
      <c r="M28" s="3"/>
      <c r="N28" s="6"/>
      <c r="O28" s="3"/>
      <c r="P28" s="6"/>
      <c r="Q28" s="3"/>
      <c r="R28" s="6"/>
      <c r="S28" s="3"/>
      <c r="T28" s="6"/>
      <c r="U28" s="3"/>
      <c r="V28" s="6"/>
      <c r="W28" s="3"/>
      <c r="X28" s="6"/>
      <c r="Y28" s="3"/>
      <c r="Z28" s="6"/>
      <c r="AA28" s="3"/>
      <c r="AB28" s="6"/>
      <c r="AC28" s="3"/>
      <c r="AD28" s="6"/>
      <c r="AE28" s="3"/>
      <c r="AF28" s="6"/>
      <c r="AG28" s="10"/>
      <c r="AH28" s="6"/>
      <c r="AI28" s="10"/>
      <c r="AJ28" s="6"/>
      <c r="AK28" s="3"/>
      <c r="AL28" s="6"/>
      <c r="AM28" s="3"/>
      <c r="AN28" s="6"/>
      <c r="AO28" s="3"/>
      <c r="AP28" s="6"/>
      <c r="AQ28" s="3"/>
      <c r="AR28" s="6"/>
      <c r="AS28" s="3"/>
      <c r="AT28" s="6"/>
      <c r="AU28" s="5"/>
      <c r="AV28" s="6"/>
      <c r="AW28" s="3"/>
      <c r="AX28" s="6"/>
      <c r="AY28" s="10"/>
      <c r="AZ28" s="6"/>
      <c r="BA28" s="5"/>
      <c r="BB28" s="6"/>
      <c r="BC28" s="5"/>
      <c r="BD28" s="6"/>
      <c r="BE28" s="10"/>
      <c r="BF28" s="6"/>
      <c r="BG28" s="5"/>
      <c r="BH28" s="6"/>
      <c r="BI28" s="3"/>
      <c r="BJ28" s="6"/>
      <c r="BK28" s="3"/>
      <c r="BL28" s="6"/>
      <c r="BM28" s="3"/>
      <c r="BN28" s="6"/>
      <c r="BO28" s="3"/>
      <c r="BP28" s="6"/>
      <c r="BQ28" s="3"/>
      <c r="BR28" s="6"/>
      <c r="BS28" s="3"/>
      <c r="BT28" s="6"/>
      <c r="BU28" s="3"/>
      <c r="BV28" s="6"/>
      <c r="BW28" s="10"/>
      <c r="BX28" s="6"/>
      <c r="BY28" s="10"/>
      <c r="BZ28" s="6"/>
      <c r="CA28" s="5"/>
      <c r="CB28" s="6"/>
      <c r="CC28" s="10"/>
      <c r="CD28" s="6"/>
      <c r="CE28" s="5"/>
      <c r="CF28" s="6"/>
      <c r="CG28" s="10"/>
      <c r="CH28" s="6"/>
      <c r="CI28" s="10"/>
      <c r="CJ28" s="6"/>
      <c r="CK28" s="3"/>
      <c r="CL28" s="6"/>
      <c r="CM28" s="3"/>
      <c r="CN28" s="6"/>
      <c r="CO28" s="3"/>
      <c r="CP28" s="6"/>
      <c r="CQ28" s="3"/>
      <c r="CR28" s="6"/>
      <c r="CS28" s="3"/>
      <c r="CT28" s="6"/>
      <c r="CU28" s="3"/>
      <c r="CV28" s="6"/>
      <c r="CW28" s="3"/>
      <c r="CX28" s="6"/>
      <c r="CY28" s="3"/>
      <c r="CZ28" s="6"/>
      <c r="DA28" s="3"/>
      <c r="DB28" s="6"/>
      <c r="DC28" s="3"/>
      <c r="DD28" s="6"/>
      <c r="DE28" s="3"/>
      <c r="DF28" s="6"/>
      <c r="DG28" s="10"/>
      <c r="DH28" s="6"/>
      <c r="DI28" s="3"/>
    </row>
    <row r="29" spans="1:113" x14ac:dyDescent="0.2">
      <c r="A29" s="6"/>
      <c r="B29" s="6"/>
      <c r="C29" s="3"/>
      <c r="D29" s="6"/>
      <c r="E29" s="3"/>
      <c r="F29" s="6"/>
      <c r="G29" s="3"/>
      <c r="H29" s="6"/>
      <c r="I29" s="3"/>
      <c r="J29" s="6"/>
      <c r="K29" s="3"/>
      <c r="L29" s="6"/>
      <c r="M29" s="3"/>
      <c r="N29" s="6"/>
      <c r="O29" s="3"/>
      <c r="P29" s="6"/>
      <c r="Q29" s="3"/>
      <c r="R29" s="6"/>
      <c r="S29" s="3"/>
      <c r="T29" s="6"/>
      <c r="U29" s="3"/>
      <c r="V29" s="6"/>
      <c r="W29" s="3"/>
      <c r="X29" s="6"/>
      <c r="Y29" s="3"/>
      <c r="Z29" s="6"/>
      <c r="AA29" s="3"/>
      <c r="AB29" s="6"/>
      <c r="AC29" s="3"/>
      <c r="AD29" s="6"/>
      <c r="AE29" s="3"/>
      <c r="AF29" s="6"/>
      <c r="AG29" s="3"/>
      <c r="AH29" s="6"/>
      <c r="AI29" s="3"/>
      <c r="AJ29" s="6"/>
      <c r="AK29" s="3"/>
      <c r="AL29" s="6"/>
      <c r="AM29" s="3"/>
      <c r="AN29" s="6"/>
      <c r="AO29" s="3"/>
      <c r="AP29" s="6"/>
      <c r="AQ29" s="3"/>
      <c r="AR29" s="6"/>
      <c r="AS29" s="3"/>
      <c r="AT29" s="6"/>
      <c r="AU29" s="3"/>
      <c r="AV29" s="6"/>
      <c r="AW29" s="3"/>
      <c r="AX29" s="6"/>
      <c r="AY29" s="3"/>
      <c r="AZ29" s="6"/>
      <c r="BA29" s="3"/>
      <c r="BB29" s="6"/>
      <c r="BC29" s="3"/>
      <c r="BD29" s="6"/>
      <c r="BE29" s="3"/>
      <c r="BF29" s="6"/>
      <c r="BG29" s="3"/>
      <c r="BH29" s="6"/>
      <c r="BI29" s="3"/>
      <c r="BJ29" s="6"/>
      <c r="BK29" s="3"/>
      <c r="BL29" s="6"/>
      <c r="BM29" s="3"/>
      <c r="BN29" s="6"/>
      <c r="BO29" s="3"/>
      <c r="BP29" s="6"/>
      <c r="BQ29" s="3"/>
      <c r="BR29" s="6"/>
      <c r="BS29" s="3"/>
      <c r="BT29" s="6"/>
      <c r="BU29" s="3"/>
      <c r="BV29" s="6"/>
      <c r="BW29" s="3"/>
      <c r="BX29" s="6"/>
      <c r="BY29" s="3"/>
      <c r="BZ29" s="6"/>
      <c r="CA29" s="3"/>
      <c r="CB29" s="6"/>
      <c r="CC29" s="3"/>
      <c r="CD29" s="6"/>
      <c r="CE29" s="3"/>
      <c r="CF29" s="6"/>
      <c r="CG29" s="3"/>
      <c r="CH29" s="6"/>
      <c r="CI29" s="3"/>
      <c r="CJ29" s="6"/>
      <c r="CK29" s="3"/>
      <c r="CL29" s="6"/>
      <c r="CM29" s="3"/>
      <c r="CN29" s="6"/>
      <c r="CO29" s="3"/>
      <c r="CP29" s="6"/>
      <c r="CQ29" s="3"/>
      <c r="CR29" s="6"/>
      <c r="CS29" s="3"/>
      <c r="CT29" s="6"/>
      <c r="CU29" s="3"/>
      <c r="CV29" s="6"/>
      <c r="CW29" s="3"/>
      <c r="CX29" s="6"/>
      <c r="CY29" s="3"/>
      <c r="CZ29" s="6"/>
      <c r="DA29" s="3"/>
      <c r="DB29" s="6"/>
      <c r="DC29" s="3"/>
      <c r="DD29" s="6"/>
      <c r="DE29" s="3"/>
      <c r="DF29" s="6"/>
      <c r="DG29" s="3"/>
      <c r="DH29" s="6"/>
      <c r="DI29" s="3"/>
    </row>
    <row r="30" spans="1:113" x14ac:dyDescent="0.2">
      <c r="A30" s="6"/>
      <c r="B30" s="6"/>
      <c r="C30" s="3"/>
      <c r="D30" s="6"/>
      <c r="E30" s="3"/>
      <c r="F30" s="6"/>
      <c r="G30" s="3"/>
      <c r="H30" s="6"/>
      <c r="I30" s="3"/>
      <c r="J30" s="6"/>
      <c r="K30" s="3"/>
      <c r="L30" s="6"/>
      <c r="M30" s="3"/>
      <c r="N30" s="6"/>
      <c r="O30" s="3"/>
      <c r="P30" s="6"/>
      <c r="Q30" s="3"/>
      <c r="R30" s="6"/>
      <c r="S30" s="3"/>
      <c r="T30" s="6"/>
      <c r="U30" s="3"/>
      <c r="V30" s="6"/>
      <c r="W30" s="3"/>
      <c r="X30" s="6"/>
      <c r="Y30" s="3"/>
      <c r="Z30" s="6"/>
      <c r="AA30" s="3"/>
      <c r="AB30" s="6"/>
      <c r="AC30" s="3"/>
      <c r="AD30" s="6"/>
      <c r="AE30" s="3"/>
      <c r="AF30" s="6"/>
      <c r="AG30" s="3"/>
      <c r="AH30" s="6"/>
      <c r="AI30" s="3"/>
      <c r="AJ30" s="6"/>
      <c r="AK30" s="3"/>
      <c r="AL30" s="6"/>
      <c r="AM30" s="3"/>
      <c r="AN30" s="6"/>
      <c r="AO30" s="3"/>
      <c r="AP30" s="6"/>
      <c r="AQ30" s="3"/>
      <c r="AR30" s="6"/>
      <c r="AS30" s="3"/>
      <c r="AT30" s="6"/>
      <c r="AU30" s="3"/>
      <c r="AV30" s="6"/>
      <c r="AW30" s="3"/>
      <c r="AX30" s="6"/>
      <c r="AY30" s="3"/>
      <c r="AZ30" s="6"/>
      <c r="BA30" s="3"/>
      <c r="BB30" s="6"/>
      <c r="BC30" s="3"/>
      <c r="BD30" s="6"/>
      <c r="BE30" s="3"/>
      <c r="BF30" s="6"/>
      <c r="BG30" s="3"/>
      <c r="BH30" s="6"/>
      <c r="BI30" s="3"/>
      <c r="BJ30" s="6"/>
      <c r="BK30" s="3"/>
      <c r="BL30" s="6"/>
      <c r="BM30" s="3"/>
      <c r="BN30" s="6"/>
      <c r="BO30" s="3"/>
      <c r="BP30" s="6"/>
      <c r="BQ30" s="3"/>
      <c r="BR30" s="6"/>
      <c r="BS30" s="3"/>
      <c r="BT30" s="6"/>
      <c r="BU30" s="3"/>
      <c r="BV30" s="6"/>
      <c r="BW30" s="3"/>
      <c r="BX30" s="6"/>
      <c r="BY30" s="3"/>
      <c r="BZ30" s="6"/>
      <c r="CA30" s="3"/>
      <c r="CB30" s="6"/>
      <c r="CC30" s="3"/>
      <c r="CD30" s="6"/>
      <c r="CE30" s="3"/>
      <c r="CF30" s="6"/>
      <c r="CG30" s="3"/>
      <c r="CH30" s="6"/>
      <c r="CI30" s="3"/>
      <c r="CJ30" s="6"/>
      <c r="CK30" s="3"/>
      <c r="CL30" s="6"/>
      <c r="CM30" s="3"/>
      <c r="CN30" s="6"/>
      <c r="CO30" s="3"/>
      <c r="CP30" s="6"/>
      <c r="CQ30" s="3"/>
      <c r="CR30" s="6"/>
      <c r="CS30" s="3"/>
      <c r="CT30" s="6"/>
      <c r="CU30" s="3"/>
      <c r="CV30" s="6"/>
      <c r="CW30" s="3"/>
      <c r="CX30" s="6"/>
      <c r="CY30" s="3"/>
      <c r="CZ30" s="6"/>
      <c r="DA30" s="3"/>
      <c r="DB30" s="6"/>
      <c r="DC30" s="3"/>
      <c r="DD30" s="6"/>
      <c r="DE30" s="3"/>
      <c r="DF30" s="6"/>
      <c r="DG30" s="3"/>
      <c r="DH30" s="6"/>
      <c r="DI30" s="3"/>
    </row>
    <row r="31" spans="1:113" x14ac:dyDescent="0.2">
      <c r="A31" s="6"/>
      <c r="B31" s="6"/>
      <c r="C31" s="3"/>
      <c r="D31" s="6"/>
      <c r="E31" s="3"/>
      <c r="F31" s="6"/>
      <c r="G31" s="3"/>
      <c r="H31" s="6"/>
      <c r="I31" s="3"/>
      <c r="J31" s="6"/>
      <c r="K31" s="3"/>
      <c r="L31" s="6"/>
      <c r="M31" s="3"/>
      <c r="N31" s="6"/>
      <c r="O31" s="3"/>
      <c r="P31" s="6"/>
      <c r="Q31" s="3"/>
      <c r="R31" s="6"/>
      <c r="S31" s="3"/>
      <c r="T31" s="6"/>
      <c r="U31" s="3"/>
      <c r="V31" s="6"/>
      <c r="W31" s="3"/>
      <c r="X31" s="6"/>
      <c r="Y31" s="3"/>
      <c r="Z31" s="6"/>
      <c r="AA31" s="3"/>
      <c r="AB31" s="6"/>
      <c r="AC31" s="3"/>
      <c r="AD31" s="6"/>
      <c r="AE31" s="3"/>
      <c r="AF31" s="6"/>
      <c r="AG31" s="3"/>
      <c r="AH31" s="6"/>
      <c r="AI31" s="3"/>
      <c r="AJ31" s="6"/>
      <c r="AK31" s="3"/>
      <c r="AL31" s="6"/>
      <c r="AM31" s="3"/>
      <c r="AN31" s="6"/>
      <c r="AO31" s="3"/>
      <c r="AP31" s="6"/>
      <c r="AQ31" s="3"/>
      <c r="AR31" s="6"/>
      <c r="AS31" s="3"/>
      <c r="AT31" s="6"/>
      <c r="AU31" s="3"/>
      <c r="AV31" s="6"/>
      <c r="AW31" s="3"/>
      <c r="AX31" s="6"/>
      <c r="AY31" s="3"/>
      <c r="AZ31" s="6"/>
      <c r="BA31" s="3"/>
      <c r="BB31" s="6"/>
      <c r="BC31" s="3"/>
      <c r="BD31" s="6"/>
      <c r="BE31" s="3"/>
      <c r="BF31" s="6"/>
      <c r="BG31" s="3"/>
      <c r="BH31" s="6"/>
      <c r="BI31" s="3"/>
      <c r="BJ31" s="6"/>
      <c r="BK31" s="3"/>
      <c r="BL31" s="6"/>
      <c r="BM31" s="3"/>
      <c r="BN31" s="6"/>
      <c r="BO31" s="3"/>
      <c r="BP31" s="6"/>
      <c r="BQ31" s="3"/>
      <c r="BR31" s="6"/>
      <c r="BS31" s="3"/>
      <c r="BT31" s="6"/>
      <c r="BU31" s="3"/>
      <c r="BV31" s="6"/>
      <c r="BW31" s="3"/>
      <c r="BX31" s="6"/>
      <c r="BY31" s="3"/>
      <c r="BZ31" s="6"/>
      <c r="CA31" s="3"/>
      <c r="CB31" s="6"/>
      <c r="CC31" s="3"/>
      <c r="CD31" s="6"/>
      <c r="CE31" s="3"/>
      <c r="CF31" s="6"/>
      <c r="CG31" s="3"/>
      <c r="CH31" s="6"/>
      <c r="CI31" s="3"/>
      <c r="CJ31" s="6"/>
      <c r="CK31" s="3"/>
      <c r="CL31" s="6"/>
      <c r="CM31" s="3"/>
      <c r="CN31" s="6"/>
      <c r="CO31" s="3"/>
      <c r="CP31" s="6"/>
      <c r="CQ31" s="3"/>
      <c r="CR31" s="6"/>
      <c r="CS31" s="3"/>
      <c r="CT31" s="6"/>
      <c r="CU31" s="3"/>
      <c r="CV31" s="6"/>
      <c r="CW31" s="3"/>
      <c r="CX31" s="6"/>
      <c r="CY31" s="3"/>
      <c r="CZ31" s="6"/>
      <c r="DA31" s="3"/>
      <c r="DB31" s="6"/>
      <c r="DC31" s="3"/>
      <c r="DD31" s="6"/>
      <c r="DE31" s="3"/>
      <c r="DF31" s="6"/>
      <c r="DG31" s="3"/>
      <c r="DH31" s="6"/>
      <c r="DI31" s="3"/>
    </row>
    <row r="32" spans="1:113" x14ac:dyDescent="0.2">
      <c r="A32" s="6"/>
      <c r="B32" s="6"/>
      <c r="C32" s="3"/>
      <c r="D32" s="6"/>
      <c r="E32" s="3"/>
      <c r="F32" s="6"/>
      <c r="G32" s="3"/>
      <c r="H32" s="6"/>
      <c r="I32" s="3"/>
      <c r="J32" s="6"/>
      <c r="K32" s="3"/>
      <c r="L32" s="6"/>
      <c r="M32" s="3"/>
      <c r="N32" s="6"/>
      <c r="O32" s="3"/>
      <c r="P32" s="6"/>
      <c r="Q32" s="3"/>
      <c r="R32" s="6"/>
      <c r="S32" s="3"/>
      <c r="T32" s="6"/>
      <c r="U32" s="3"/>
      <c r="V32" s="6"/>
      <c r="W32" s="3"/>
      <c r="X32" s="6"/>
      <c r="Y32" s="3"/>
      <c r="Z32" s="6"/>
      <c r="AA32" s="3"/>
      <c r="AB32" s="6"/>
      <c r="AC32" s="3"/>
      <c r="AD32" s="6"/>
      <c r="AE32" s="3"/>
      <c r="AF32" s="6"/>
      <c r="AG32" s="3"/>
      <c r="AH32" s="6"/>
      <c r="AI32" s="3"/>
      <c r="AJ32" s="6"/>
      <c r="AK32" s="3"/>
      <c r="AL32" s="6"/>
      <c r="AM32" s="3"/>
      <c r="AN32" s="6"/>
      <c r="AO32" s="3"/>
      <c r="AP32" s="6"/>
      <c r="AQ32" s="3"/>
      <c r="AR32" s="6"/>
      <c r="AS32" s="3"/>
      <c r="AT32" s="6"/>
      <c r="AU32" s="3"/>
      <c r="AV32" s="6"/>
      <c r="AW32" s="3"/>
      <c r="AX32" s="6"/>
      <c r="AY32" s="3"/>
      <c r="AZ32" s="6"/>
      <c r="BA32" s="3"/>
      <c r="BB32" s="6"/>
      <c r="BC32" s="3"/>
      <c r="BD32" s="6"/>
      <c r="BE32" s="3"/>
      <c r="BF32" s="6"/>
      <c r="BG32" s="3"/>
      <c r="BH32" s="6"/>
      <c r="BI32" s="3"/>
      <c r="BJ32" s="6"/>
      <c r="BK32" s="3"/>
      <c r="BL32" s="6"/>
      <c r="BM32" s="3"/>
      <c r="BN32" s="6"/>
      <c r="BO32" s="3"/>
      <c r="BP32" s="6"/>
      <c r="BQ32" s="3"/>
      <c r="BR32" s="6"/>
      <c r="BS32" s="3"/>
      <c r="BT32" s="6"/>
      <c r="BU32" s="3"/>
      <c r="BV32" s="6"/>
      <c r="BW32" s="3"/>
      <c r="BX32" s="6"/>
      <c r="BY32" s="3"/>
      <c r="BZ32" s="6"/>
      <c r="CA32" s="3"/>
      <c r="CB32" s="6"/>
      <c r="CC32" s="3"/>
      <c r="CD32" s="6"/>
      <c r="CE32" s="3"/>
      <c r="CF32" s="6"/>
      <c r="CG32" s="3"/>
      <c r="CH32" s="6"/>
      <c r="CI32" s="3"/>
      <c r="CJ32" s="6"/>
      <c r="CK32" s="3"/>
      <c r="CL32" s="6"/>
      <c r="CM32" s="3"/>
      <c r="CN32" s="6"/>
      <c r="CO32" s="3"/>
      <c r="CP32" s="6"/>
      <c r="CQ32" s="3"/>
      <c r="CR32" s="6"/>
      <c r="CS32" s="3"/>
      <c r="CT32" s="6"/>
      <c r="CU32" s="3"/>
      <c r="CV32" s="6"/>
      <c r="CW32" s="3"/>
      <c r="CX32" s="6"/>
      <c r="CY32" s="3"/>
      <c r="CZ32" s="6"/>
      <c r="DA32" s="3"/>
      <c r="DB32" s="6"/>
      <c r="DC32" s="3"/>
      <c r="DD32" s="6"/>
      <c r="DE32" s="3"/>
      <c r="DF32" s="6"/>
      <c r="DG32" s="3"/>
      <c r="DH32" s="6"/>
      <c r="DI32" s="3"/>
    </row>
    <row r="33" spans="1:113" x14ac:dyDescent="0.2">
      <c r="A33" s="6"/>
      <c r="B33" s="6"/>
      <c r="C33" s="3"/>
      <c r="D33" s="6"/>
      <c r="E33" s="3"/>
      <c r="F33" s="6"/>
      <c r="G33" s="3"/>
      <c r="H33" s="6"/>
      <c r="I33" s="3"/>
      <c r="J33" s="6"/>
      <c r="K33" s="3"/>
      <c r="L33" s="6"/>
      <c r="M33" s="3"/>
      <c r="N33" s="6"/>
      <c r="O33" s="3"/>
      <c r="P33" s="6"/>
      <c r="Q33" s="3"/>
      <c r="R33" s="6"/>
      <c r="S33" s="3"/>
      <c r="T33" s="6"/>
      <c r="U33" s="3"/>
      <c r="V33" s="6"/>
      <c r="W33" s="3"/>
      <c r="X33" s="6"/>
      <c r="Y33" s="3"/>
      <c r="Z33" s="6"/>
      <c r="AA33" s="3"/>
      <c r="AB33" s="6"/>
      <c r="AC33" s="3"/>
      <c r="AD33" s="6"/>
      <c r="AE33" s="3"/>
      <c r="AF33" s="6"/>
      <c r="AG33" s="3"/>
      <c r="AH33" s="6"/>
      <c r="AI33" s="3"/>
      <c r="AJ33" s="6"/>
      <c r="AK33" s="3"/>
      <c r="AL33" s="6"/>
      <c r="AM33" s="3"/>
      <c r="AN33" s="6"/>
      <c r="AO33" s="3"/>
      <c r="AP33" s="6"/>
      <c r="AQ33" s="3"/>
      <c r="AR33" s="6"/>
      <c r="AS33" s="3"/>
      <c r="AT33" s="6"/>
      <c r="AU33" s="3"/>
      <c r="AV33" s="6"/>
      <c r="AW33" s="3"/>
      <c r="AX33" s="6"/>
      <c r="AY33" s="3"/>
      <c r="AZ33" s="6"/>
      <c r="BA33" s="3"/>
      <c r="BB33" s="6"/>
      <c r="BC33" s="3"/>
      <c r="BD33" s="6"/>
      <c r="BE33" s="3"/>
      <c r="BF33" s="6"/>
      <c r="BG33" s="3"/>
      <c r="BH33" s="6"/>
      <c r="BI33" s="3"/>
      <c r="BJ33" s="6"/>
      <c r="BK33" s="3"/>
      <c r="BL33" s="6"/>
      <c r="BM33" s="3"/>
      <c r="BN33" s="6"/>
      <c r="BO33" s="3"/>
      <c r="BP33" s="6"/>
      <c r="BQ33" s="3"/>
      <c r="BR33" s="6"/>
      <c r="BS33" s="3"/>
      <c r="BT33" s="6"/>
      <c r="BU33" s="3"/>
      <c r="BV33" s="6"/>
      <c r="BW33" s="3"/>
      <c r="BX33" s="6"/>
      <c r="BY33" s="3"/>
      <c r="BZ33" s="6"/>
      <c r="CA33" s="3"/>
      <c r="CB33" s="6"/>
      <c r="CC33" s="3"/>
      <c r="CD33" s="6"/>
      <c r="CE33" s="3"/>
      <c r="CF33" s="6"/>
      <c r="CG33" s="3"/>
      <c r="CH33" s="6"/>
      <c r="CI33" s="3"/>
      <c r="CJ33" s="6"/>
      <c r="CK33" s="3"/>
      <c r="CL33" s="6"/>
      <c r="CM33" s="3"/>
      <c r="CN33" s="6"/>
      <c r="CO33" s="3"/>
      <c r="CP33" s="6"/>
      <c r="CQ33" s="3"/>
      <c r="CR33" s="6"/>
      <c r="CS33" s="3"/>
      <c r="CT33" s="6"/>
      <c r="CU33" s="3"/>
      <c r="CV33" s="6"/>
      <c r="CW33" s="3"/>
      <c r="CX33" s="6"/>
      <c r="CY33" s="3"/>
      <c r="CZ33" s="6"/>
      <c r="DA33" s="3"/>
      <c r="DB33" s="6"/>
      <c r="DC33" s="3"/>
      <c r="DD33" s="6"/>
      <c r="DE33" s="3"/>
      <c r="DF33" s="6"/>
      <c r="DG33" s="3"/>
      <c r="DH33" s="6"/>
      <c r="DI33" s="3"/>
    </row>
    <row r="34" spans="1:113" x14ac:dyDescent="0.2">
      <c r="A34" s="6"/>
      <c r="B34" s="3"/>
      <c r="C34" s="10"/>
      <c r="D34" s="3"/>
      <c r="E34" s="3"/>
      <c r="F34" s="3"/>
      <c r="G34" s="3"/>
      <c r="H34" s="3"/>
      <c r="I34" s="3"/>
      <c r="J34" s="3"/>
      <c r="K34" s="3"/>
      <c r="L34" s="3"/>
      <c r="M34" s="10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10"/>
      <c r="DD34" s="3"/>
      <c r="DE34" s="3"/>
      <c r="DF34" s="3"/>
      <c r="DG34" s="3"/>
      <c r="DH34" s="3"/>
      <c r="DI34" s="3"/>
    </row>
    <row r="35" spans="1:113" x14ac:dyDescent="0.2">
      <c r="A35" s="6"/>
      <c r="B35" s="3"/>
      <c r="C35" s="1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</row>
    <row r="36" spans="1:113" x14ac:dyDescent="0.2">
      <c r="A36" s="6"/>
      <c r="B36" s="6"/>
      <c r="D36" s="6"/>
      <c r="F36" s="6"/>
      <c r="H36" s="6"/>
      <c r="J36" s="6"/>
      <c r="L36" s="6"/>
      <c r="N36" s="6"/>
      <c r="P36" s="6"/>
      <c r="R36" s="6"/>
      <c r="T36" s="6"/>
      <c r="V36" s="6"/>
      <c r="X36" s="6"/>
      <c r="Z36" s="6"/>
      <c r="AB36" s="6"/>
      <c r="AD36" s="6"/>
      <c r="AF36" s="6"/>
      <c r="AH36" s="6"/>
      <c r="AJ36" s="6"/>
      <c r="AL36" s="6"/>
      <c r="AN36" s="6"/>
      <c r="AP36" s="6"/>
      <c r="AR36" s="6"/>
      <c r="AT36" s="6"/>
      <c r="AV36" s="6"/>
      <c r="AX36" s="6"/>
      <c r="AZ36" s="6"/>
      <c r="BB36" s="6"/>
      <c r="BD36" s="6"/>
      <c r="BF36" s="6"/>
      <c r="BH36" s="6"/>
      <c r="BJ36" s="6"/>
      <c r="BL36" s="6"/>
      <c r="BN36" s="6"/>
      <c r="BP36" s="6"/>
      <c r="BR36" s="6"/>
      <c r="BT36" s="6"/>
      <c r="BV36" s="6"/>
      <c r="BX36" s="6"/>
      <c r="BZ36" s="6"/>
      <c r="CB36" s="6"/>
      <c r="CD36" s="6"/>
      <c r="CF36" s="6"/>
      <c r="CH36" s="6"/>
      <c r="CJ36" s="6"/>
      <c r="CL36" s="6"/>
      <c r="CN36" s="6"/>
      <c r="CP36" s="6"/>
      <c r="CR36" s="6"/>
      <c r="CT36" s="6"/>
      <c r="CV36" s="6"/>
      <c r="CX36" s="6"/>
      <c r="CZ36" s="6"/>
      <c r="DB36" s="6"/>
      <c r="DD36" s="6"/>
      <c r="DF36" s="6"/>
      <c r="DH36" s="6"/>
    </row>
    <row r="37" spans="1:113" x14ac:dyDescent="0.2">
      <c r="A37" s="6"/>
      <c r="B37" s="6"/>
      <c r="D37" s="6"/>
      <c r="F37" s="6"/>
      <c r="H37" s="6"/>
      <c r="J37" s="6"/>
      <c r="L37" s="6"/>
      <c r="N37" s="6"/>
      <c r="P37" s="6"/>
      <c r="R37" s="6"/>
      <c r="T37" s="6"/>
      <c r="V37" s="6"/>
      <c r="X37" s="6"/>
      <c r="Z37" s="6"/>
      <c r="AB37" s="6"/>
      <c r="AD37" s="6"/>
      <c r="AF37" s="6"/>
      <c r="AH37" s="6"/>
      <c r="AJ37" s="6"/>
      <c r="AL37" s="6"/>
      <c r="AN37" s="6"/>
      <c r="AP37" s="6"/>
      <c r="AR37" s="6"/>
      <c r="AT37" s="6"/>
      <c r="AV37" s="6"/>
      <c r="AX37" s="6"/>
      <c r="AZ37" s="6"/>
      <c r="BB37" s="6"/>
      <c r="BD37" s="6"/>
      <c r="BF37" s="6"/>
      <c r="BH37" s="6"/>
      <c r="BJ37" s="6"/>
      <c r="BL37" s="6"/>
      <c r="BN37" s="6"/>
      <c r="BP37" s="6"/>
      <c r="BR37" s="6"/>
      <c r="BT37" s="6"/>
      <c r="BV37" s="6"/>
      <c r="BX37" s="6"/>
      <c r="BZ37" s="6"/>
      <c r="CB37" s="6"/>
      <c r="CD37" s="6"/>
      <c r="CF37" s="6"/>
      <c r="CH37" s="6"/>
      <c r="CJ37" s="6"/>
      <c r="CL37" s="6"/>
      <c r="CN37" s="6"/>
      <c r="CP37" s="6"/>
      <c r="CR37" s="6"/>
      <c r="CT37" s="6"/>
      <c r="CV37" s="6"/>
      <c r="CX37" s="6"/>
      <c r="CZ37" s="6"/>
      <c r="DB37" s="6"/>
      <c r="DD37" s="6"/>
      <c r="DF37" s="6"/>
      <c r="DH37" s="6"/>
    </row>
    <row r="38" spans="1:113" x14ac:dyDescent="0.2">
      <c r="A38" s="6"/>
      <c r="B38" s="6"/>
      <c r="D38" s="6"/>
      <c r="F38" s="6"/>
      <c r="H38" s="6"/>
      <c r="J38" s="6"/>
      <c r="L38" s="6"/>
      <c r="N38" s="6"/>
      <c r="P38" s="6"/>
      <c r="R38" s="6"/>
      <c r="T38" s="6"/>
      <c r="V38" s="6"/>
      <c r="X38" s="6"/>
      <c r="Z38" s="6"/>
      <c r="AB38" s="6"/>
      <c r="AD38" s="6"/>
      <c r="AF38" s="6"/>
      <c r="AH38" s="6"/>
      <c r="AJ38" s="6"/>
      <c r="AL38" s="6"/>
      <c r="AN38" s="6"/>
      <c r="AP38" s="6"/>
      <c r="AR38" s="6"/>
      <c r="AT38" s="6"/>
      <c r="AV38" s="6"/>
      <c r="AX38" s="6"/>
      <c r="AZ38" s="6"/>
      <c r="BB38" s="6"/>
      <c r="BD38" s="6"/>
      <c r="BF38" s="6"/>
      <c r="BH38" s="6"/>
      <c r="BJ38" s="6"/>
      <c r="BL38" s="6"/>
      <c r="BN38" s="6"/>
      <c r="BP38" s="6"/>
      <c r="BR38" s="6"/>
      <c r="BT38" s="6"/>
      <c r="BV38" s="6"/>
      <c r="BX38" s="6"/>
      <c r="BZ38" s="6"/>
      <c r="CB38" s="6"/>
      <c r="CD38" s="6"/>
      <c r="CF38" s="6"/>
      <c r="CH38" s="6"/>
      <c r="CJ38" s="6"/>
      <c r="CL38" s="6"/>
      <c r="CN38" s="6"/>
      <c r="CP38" s="6"/>
      <c r="CR38" s="6"/>
      <c r="CT38" s="6"/>
      <c r="CV38" s="6"/>
      <c r="CX38" s="6"/>
      <c r="CZ38" s="6"/>
      <c r="DB38" s="6"/>
      <c r="DD38" s="6"/>
      <c r="DF38" s="6"/>
      <c r="DH38" s="6"/>
    </row>
    <row r="40" spans="1:113" x14ac:dyDescent="0.2">
      <c r="A40" s="6"/>
      <c r="B40" s="5"/>
      <c r="C40" s="26"/>
      <c r="D40" s="5"/>
      <c r="E40" s="26"/>
      <c r="F40" s="5"/>
      <c r="G40" s="26"/>
      <c r="H40" s="5"/>
      <c r="I40" s="26"/>
      <c r="J40" s="5"/>
      <c r="K40" s="26"/>
      <c r="L40" s="5"/>
      <c r="M40" s="26"/>
      <c r="N40" s="5"/>
      <c r="O40" s="26"/>
      <c r="P40" s="5"/>
      <c r="Q40" s="26"/>
      <c r="R40" s="5"/>
      <c r="S40" s="26"/>
      <c r="T40" s="5"/>
      <c r="U40" s="26"/>
      <c r="V40" s="5"/>
      <c r="W40" s="26"/>
      <c r="X40" s="5"/>
      <c r="Y40" s="26"/>
      <c r="Z40" s="5"/>
      <c r="AA40" s="26"/>
      <c r="AB40" s="5"/>
      <c r="AC40" s="26"/>
      <c r="AD40" s="5"/>
      <c r="AE40" s="26"/>
      <c r="AF40" s="5"/>
      <c r="AG40" s="26"/>
      <c r="AH40" s="5"/>
      <c r="AI40" s="26"/>
      <c r="AJ40" s="5"/>
      <c r="AK40" s="26"/>
      <c r="AL40" s="5"/>
      <c r="AM40" s="26"/>
      <c r="AN40" s="5"/>
      <c r="AO40" s="26"/>
      <c r="AP40" s="5"/>
      <c r="AQ40" s="26"/>
      <c r="AR40" s="5"/>
      <c r="AS40" s="26"/>
      <c r="AT40" s="5"/>
      <c r="AU40" s="26"/>
      <c r="AV40" s="5"/>
      <c r="AW40" s="26"/>
      <c r="AX40" s="5"/>
      <c r="AY40" s="26"/>
      <c r="AZ40" s="5"/>
      <c r="BA40" s="26"/>
      <c r="BB40" s="5"/>
      <c r="BC40" s="26"/>
      <c r="BD40" s="5"/>
      <c r="BE40" s="26"/>
      <c r="BF40" s="5"/>
      <c r="BG40" s="26"/>
      <c r="BH40" s="5"/>
      <c r="BI40" s="26"/>
      <c r="BJ40" s="5"/>
      <c r="BK40" s="26"/>
      <c r="BL40" s="5"/>
      <c r="BM40" s="26"/>
      <c r="BN40" s="5"/>
      <c r="BO40" s="26"/>
      <c r="BP40" s="5"/>
      <c r="BQ40" s="26"/>
      <c r="BR40" s="5"/>
      <c r="BS40" s="26"/>
      <c r="BT40" s="5"/>
      <c r="BU40" s="26"/>
      <c r="BV40" s="5"/>
      <c r="BW40" s="26"/>
      <c r="BX40" s="5"/>
      <c r="BY40" s="26"/>
      <c r="BZ40" s="5"/>
      <c r="CA40" s="26"/>
      <c r="CB40" s="5"/>
      <c r="CC40" s="26"/>
      <c r="CD40" s="5"/>
      <c r="CE40" s="26"/>
      <c r="CF40" s="5"/>
      <c r="CG40" s="26"/>
      <c r="CH40" s="5"/>
      <c r="CI40" s="26"/>
      <c r="CJ40" s="5"/>
      <c r="CK40" s="26"/>
      <c r="CL40" s="5"/>
      <c r="CM40" s="26"/>
      <c r="CN40" s="5"/>
      <c r="CO40" s="26"/>
      <c r="CP40" s="5"/>
      <c r="CQ40" s="26"/>
      <c r="CR40" s="5"/>
      <c r="CS40" s="26"/>
      <c r="CT40" s="5"/>
      <c r="CU40" s="26"/>
      <c r="CV40" s="5"/>
      <c r="CW40" s="26"/>
      <c r="CX40" s="5"/>
      <c r="CY40" s="26"/>
      <c r="CZ40" s="5"/>
      <c r="DA40" s="26"/>
      <c r="DB40" s="5"/>
      <c r="DC40" s="26"/>
      <c r="DD40" s="5"/>
      <c r="DE40" s="26"/>
      <c r="DF40" s="5"/>
      <c r="DG40" s="26"/>
      <c r="DH40" s="5"/>
      <c r="DI40" s="26"/>
    </row>
    <row r="41" spans="1:113" x14ac:dyDescent="0.2">
      <c r="A41" s="6"/>
      <c r="B41" s="5"/>
      <c r="C41" s="26"/>
      <c r="D41" s="5"/>
      <c r="E41" s="26"/>
      <c r="F41" s="5"/>
      <c r="G41" s="26"/>
      <c r="H41" s="5"/>
      <c r="I41" s="26"/>
      <c r="J41" s="5"/>
      <c r="K41" s="26"/>
      <c r="L41" s="5"/>
      <c r="M41" s="26"/>
      <c r="N41" s="5"/>
      <c r="O41" s="26"/>
      <c r="P41" s="5"/>
      <c r="Q41" s="26"/>
      <c r="R41" s="5"/>
      <c r="S41" s="26"/>
      <c r="T41" s="5"/>
      <c r="U41" s="26"/>
      <c r="V41" s="5"/>
      <c r="W41" s="26"/>
      <c r="X41" s="5"/>
      <c r="Y41" s="26"/>
      <c r="Z41" s="5"/>
      <c r="AA41" s="26"/>
      <c r="AB41" s="5"/>
      <c r="AC41" s="26"/>
      <c r="AD41" s="5"/>
      <c r="AE41" s="26"/>
      <c r="AF41" s="5"/>
      <c r="AG41" s="26"/>
      <c r="AH41" s="5"/>
      <c r="AI41" s="26"/>
      <c r="AJ41" s="5"/>
      <c r="AK41" s="26"/>
      <c r="AL41" s="5"/>
      <c r="AM41" s="26"/>
      <c r="AN41" s="5"/>
      <c r="AO41" s="26"/>
      <c r="AP41" s="5"/>
      <c r="AQ41" s="26"/>
      <c r="AR41" s="5"/>
      <c r="AS41" s="26"/>
      <c r="AT41" s="5"/>
      <c r="AU41" s="26"/>
      <c r="AV41" s="5"/>
      <c r="AW41" s="26"/>
      <c r="AX41" s="5"/>
      <c r="AY41" s="26"/>
      <c r="AZ41" s="5"/>
      <c r="BA41" s="26"/>
      <c r="BB41" s="5"/>
      <c r="BC41" s="26"/>
      <c r="BD41" s="5"/>
      <c r="BE41" s="26"/>
      <c r="BF41" s="5"/>
      <c r="BG41" s="26"/>
      <c r="BH41" s="5"/>
      <c r="BI41" s="26"/>
      <c r="BJ41" s="5"/>
      <c r="BK41" s="26"/>
      <c r="BL41" s="5"/>
      <c r="BM41" s="26"/>
      <c r="BN41" s="5"/>
      <c r="BO41" s="26"/>
      <c r="BP41" s="5"/>
      <c r="BQ41" s="26"/>
      <c r="BR41" s="5"/>
      <c r="BS41" s="26"/>
      <c r="BT41" s="5"/>
      <c r="BU41" s="26"/>
      <c r="BV41" s="5"/>
      <c r="BW41" s="26"/>
      <c r="BX41" s="5"/>
      <c r="BY41" s="26"/>
      <c r="BZ41" s="5"/>
      <c r="CA41" s="26"/>
      <c r="CB41" s="5"/>
      <c r="CC41" s="26"/>
      <c r="CD41" s="5"/>
      <c r="CE41" s="26"/>
      <c r="CF41" s="5"/>
      <c r="CG41" s="26"/>
      <c r="CH41" s="5"/>
      <c r="CI41" s="26"/>
      <c r="CJ41" s="5"/>
      <c r="CK41" s="26"/>
      <c r="CL41" s="5"/>
      <c r="CM41" s="26"/>
      <c r="CN41" s="5"/>
      <c r="CO41" s="26"/>
      <c r="CP41" s="5"/>
      <c r="CQ41" s="26"/>
      <c r="CR41" s="5"/>
      <c r="CS41" s="26"/>
      <c r="CT41" s="5"/>
      <c r="CU41" s="26"/>
      <c r="CV41" s="5"/>
      <c r="CW41" s="26"/>
      <c r="CX41" s="5"/>
      <c r="CY41" s="26"/>
      <c r="CZ41" s="5"/>
      <c r="DA41" s="26"/>
      <c r="DB41" s="5"/>
      <c r="DC41" s="26"/>
      <c r="DD41" s="5"/>
      <c r="DE41" s="26"/>
      <c r="DF41" s="5"/>
      <c r="DG41" s="26"/>
      <c r="DH41" s="5"/>
      <c r="DI41" s="26"/>
    </row>
    <row r="42" spans="1:113" x14ac:dyDescent="0.2">
      <c r="A42" s="6"/>
      <c r="B42" s="5"/>
      <c r="C42" s="26"/>
      <c r="D42" s="5"/>
      <c r="E42" s="26"/>
      <c r="F42" s="5"/>
      <c r="G42" s="26"/>
      <c r="H42" s="5"/>
      <c r="I42" s="26"/>
      <c r="J42" s="5"/>
      <c r="K42" s="26"/>
      <c r="L42" s="5"/>
      <c r="M42" s="26"/>
      <c r="N42" s="5"/>
      <c r="O42" s="26"/>
      <c r="P42" s="5"/>
      <c r="Q42" s="26"/>
      <c r="R42" s="5"/>
      <c r="S42" s="26"/>
      <c r="T42" s="5"/>
      <c r="U42" s="26"/>
      <c r="V42" s="5"/>
      <c r="W42" s="26"/>
      <c r="X42" s="5"/>
      <c r="Y42" s="26"/>
      <c r="Z42" s="5"/>
      <c r="AA42" s="26"/>
      <c r="AB42" s="5"/>
      <c r="AC42" s="26"/>
      <c r="AD42" s="5"/>
      <c r="AE42" s="26"/>
      <c r="AF42" s="5"/>
      <c r="AG42" s="26"/>
      <c r="AH42" s="5"/>
      <c r="AI42" s="26"/>
      <c r="AJ42" s="5"/>
      <c r="AK42" s="26"/>
      <c r="AL42" s="5"/>
      <c r="AM42" s="26"/>
      <c r="AN42" s="5"/>
      <c r="AO42" s="26"/>
      <c r="AP42" s="5"/>
      <c r="AQ42" s="26"/>
      <c r="AR42" s="5"/>
      <c r="AS42" s="26"/>
      <c r="AT42" s="5"/>
      <c r="AU42" s="26"/>
      <c r="AV42" s="5"/>
      <c r="AW42" s="26"/>
      <c r="AX42" s="5"/>
      <c r="AY42" s="26"/>
      <c r="AZ42" s="5"/>
      <c r="BA42" s="26"/>
      <c r="BB42" s="5"/>
      <c r="BC42" s="26"/>
      <c r="BD42" s="5"/>
      <c r="BE42" s="26"/>
      <c r="BF42" s="5"/>
      <c r="BG42" s="26"/>
      <c r="BH42" s="5"/>
      <c r="BI42" s="26"/>
      <c r="BJ42" s="5"/>
      <c r="BK42" s="26"/>
      <c r="BL42" s="5"/>
      <c r="BM42" s="26"/>
      <c r="BN42" s="5"/>
      <c r="BO42" s="26"/>
      <c r="BP42" s="5"/>
      <c r="BQ42" s="26"/>
      <c r="BR42" s="5"/>
      <c r="BS42" s="26"/>
      <c r="BT42" s="5"/>
      <c r="BU42" s="26"/>
      <c r="BV42" s="5"/>
      <c r="BW42" s="26"/>
      <c r="BX42" s="5"/>
      <c r="BY42" s="26"/>
      <c r="BZ42" s="5"/>
      <c r="CA42" s="26"/>
      <c r="CB42" s="5"/>
      <c r="CC42" s="26"/>
      <c r="CD42" s="5"/>
      <c r="CE42" s="26"/>
      <c r="CF42" s="5"/>
      <c r="CG42" s="26"/>
      <c r="CH42" s="5"/>
      <c r="CI42" s="26"/>
      <c r="CJ42" s="5"/>
      <c r="CK42" s="26"/>
      <c r="CL42" s="5"/>
      <c r="CM42" s="26"/>
      <c r="CN42" s="5"/>
      <c r="CO42" s="26"/>
      <c r="CP42" s="5"/>
      <c r="CQ42" s="26"/>
      <c r="CR42" s="5"/>
      <c r="CS42" s="26"/>
      <c r="CT42" s="5"/>
      <c r="CU42" s="26"/>
      <c r="CV42" s="5"/>
      <c r="CW42" s="26"/>
      <c r="CX42" s="5"/>
      <c r="CY42" s="26"/>
      <c r="CZ42" s="5"/>
      <c r="DA42" s="26"/>
      <c r="DB42" s="5"/>
      <c r="DC42" s="26"/>
      <c r="DD42" s="5"/>
      <c r="DE42" s="26"/>
      <c r="DF42" s="5"/>
      <c r="DG42" s="26"/>
      <c r="DH42" s="5"/>
      <c r="DI42" s="26"/>
    </row>
    <row r="43" spans="1:113" x14ac:dyDescent="0.2">
      <c r="A43" s="6"/>
      <c r="B43" s="5"/>
      <c r="C43" s="26"/>
      <c r="D43" s="5"/>
      <c r="E43" s="26"/>
      <c r="F43" s="5"/>
      <c r="G43" s="26"/>
      <c r="H43" s="5"/>
      <c r="I43" s="26"/>
      <c r="J43" s="5"/>
      <c r="K43" s="26"/>
      <c r="L43" s="5"/>
      <c r="M43" s="26"/>
      <c r="N43" s="5"/>
      <c r="O43" s="26"/>
      <c r="P43" s="5"/>
      <c r="Q43" s="26"/>
      <c r="R43" s="5"/>
      <c r="S43" s="26"/>
      <c r="T43" s="5"/>
      <c r="U43" s="26"/>
      <c r="V43" s="5"/>
      <c r="W43" s="26"/>
      <c r="X43" s="5"/>
      <c r="Y43" s="26"/>
      <c r="Z43" s="5"/>
      <c r="AA43" s="26"/>
      <c r="AB43" s="5"/>
      <c r="AC43" s="26"/>
      <c r="AD43" s="5"/>
      <c r="AE43" s="26"/>
      <c r="AF43" s="5"/>
      <c r="AG43" s="26"/>
      <c r="AH43" s="5"/>
      <c r="AI43" s="26"/>
      <c r="AJ43" s="5"/>
      <c r="AK43" s="26"/>
      <c r="AL43" s="5"/>
      <c r="AM43" s="26"/>
      <c r="AN43" s="5"/>
      <c r="AO43" s="26"/>
      <c r="AP43" s="5"/>
      <c r="AQ43" s="26"/>
      <c r="AR43" s="5"/>
      <c r="AS43" s="26"/>
      <c r="AT43" s="5"/>
      <c r="AU43" s="26"/>
      <c r="AV43" s="5"/>
      <c r="AW43" s="26"/>
      <c r="AX43" s="5"/>
      <c r="AY43" s="26"/>
      <c r="AZ43" s="5"/>
      <c r="BA43" s="26"/>
      <c r="BB43" s="5"/>
      <c r="BC43" s="26"/>
      <c r="BD43" s="5"/>
      <c r="BE43" s="26"/>
      <c r="BF43" s="5"/>
      <c r="BG43" s="26"/>
      <c r="BH43" s="5"/>
      <c r="BI43" s="26"/>
      <c r="BJ43" s="5"/>
      <c r="BK43" s="26"/>
      <c r="BL43" s="5"/>
      <c r="BM43" s="26"/>
      <c r="BN43" s="5"/>
      <c r="BO43" s="26"/>
      <c r="BP43" s="5"/>
      <c r="BQ43" s="26"/>
      <c r="BR43" s="5"/>
      <c r="BS43" s="26"/>
      <c r="BT43" s="5"/>
      <c r="BU43" s="26"/>
      <c r="BV43" s="5"/>
      <c r="BW43" s="26"/>
      <c r="BX43" s="5"/>
      <c r="BY43" s="26"/>
      <c r="BZ43" s="5"/>
      <c r="CA43" s="26"/>
      <c r="CB43" s="5"/>
      <c r="CC43" s="26"/>
      <c r="CD43" s="5"/>
      <c r="CE43" s="26"/>
      <c r="CF43" s="5"/>
      <c r="CG43" s="26"/>
      <c r="CH43" s="5"/>
      <c r="CI43" s="26"/>
      <c r="CJ43" s="5"/>
      <c r="CK43" s="26"/>
      <c r="CL43" s="5"/>
      <c r="CM43" s="26"/>
      <c r="CN43" s="5"/>
      <c r="CO43" s="26"/>
      <c r="CP43" s="5"/>
      <c r="CQ43" s="26"/>
      <c r="CR43" s="5"/>
      <c r="CS43" s="26"/>
      <c r="CT43" s="5"/>
      <c r="CU43" s="26"/>
      <c r="CV43" s="5"/>
      <c r="CW43" s="26"/>
      <c r="CX43" s="5"/>
      <c r="CY43" s="26"/>
      <c r="CZ43" s="5"/>
      <c r="DA43" s="26"/>
      <c r="DB43" s="5"/>
      <c r="DC43" s="26"/>
      <c r="DD43" s="5"/>
      <c r="DE43" s="26"/>
      <c r="DF43" s="5"/>
      <c r="DG43" s="26"/>
      <c r="DH43" s="5"/>
      <c r="DI43" s="26"/>
    </row>
    <row r="44" spans="1:113" x14ac:dyDescent="0.2">
      <c r="A44" s="6"/>
      <c r="B44" s="5"/>
      <c r="C44" s="26"/>
      <c r="D44" s="5"/>
      <c r="E44" s="26"/>
      <c r="F44" s="5"/>
      <c r="G44" s="26"/>
      <c r="H44" s="5"/>
      <c r="I44" s="26"/>
      <c r="J44" s="5"/>
      <c r="K44" s="26"/>
      <c r="L44" s="5"/>
      <c r="M44" s="26"/>
      <c r="N44" s="5"/>
      <c r="O44" s="26"/>
      <c r="P44" s="5"/>
      <c r="Q44" s="26"/>
      <c r="R44" s="5"/>
      <c r="S44" s="26"/>
      <c r="T44" s="5"/>
      <c r="U44" s="26"/>
      <c r="V44" s="5"/>
      <c r="W44" s="26"/>
      <c r="X44" s="5"/>
      <c r="Y44" s="26"/>
      <c r="Z44" s="5"/>
      <c r="AA44" s="26"/>
      <c r="AB44" s="5"/>
      <c r="AC44" s="26"/>
      <c r="AD44" s="5"/>
      <c r="AE44" s="26"/>
      <c r="AF44" s="5"/>
      <c r="AG44" s="26"/>
      <c r="AH44" s="5"/>
      <c r="AI44" s="26"/>
      <c r="AJ44" s="5"/>
      <c r="AK44" s="26"/>
      <c r="AL44" s="5"/>
      <c r="AM44" s="26"/>
      <c r="AN44" s="5"/>
      <c r="AO44" s="26"/>
      <c r="AP44" s="5"/>
      <c r="AQ44" s="26"/>
      <c r="AR44" s="5"/>
      <c r="AS44" s="26"/>
      <c r="AT44" s="5"/>
      <c r="AU44" s="26"/>
      <c r="AV44" s="5"/>
      <c r="AW44" s="26"/>
      <c r="AX44" s="5"/>
      <c r="AY44" s="26"/>
      <c r="AZ44" s="5"/>
      <c r="BA44" s="26"/>
      <c r="BB44" s="5"/>
      <c r="BC44" s="26"/>
      <c r="BD44" s="5"/>
      <c r="BE44" s="26"/>
      <c r="BF44" s="5"/>
      <c r="BG44" s="26"/>
      <c r="BH44" s="5"/>
      <c r="BI44" s="26"/>
      <c r="BJ44" s="5"/>
      <c r="BK44" s="26"/>
      <c r="BL44" s="5"/>
      <c r="BM44" s="26"/>
      <c r="BN44" s="5"/>
      <c r="BO44" s="26"/>
      <c r="BP44" s="5"/>
      <c r="BQ44" s="26"/>
      <c r="BR44" s="5"/>
      <c r="BS44" s="26"/>
      <c r="BT44" s="5"/>
      <c r="BU44" s="26"/>
      <c r="BV44" s="5"/>
      <c r="BW44" s="26"/>
      <c r="BX44" s="5"/>
      <c r="BY44" s="26"/>
      <c r="BZ44" s="5"/>
      <c r="CA44" s="26"/>
      <c r="CB44" s="5"/>
      <c r="CC44" s="26"/>
      <c r="CD44" s="5"/>
      <c r="CE44" s="26"/>
      <c r="CF44" s="5"/>
      <c r="CG44" s="26"/>
      <c r="CH44" s="5"/>
      <c r="CI44" s="26"/>
      <c r="CJ44" s="5"/>
      <c r="CK44" s="26"/>
      <c r="CL44" s="5"/>
      <c r="CM44" s="26"/>
      <c r="CN44" s="5"/>
      <c r="CO44" s="26"/>
      <c r="CP44" s="5"/>
      <c r="CQ44" s="26"/>
      <c r="CR44" s="5"/>
      <c r="CS44" s="26"/>
      <c r="CT44" s="5"/>
      <c r="CU44" s="26"/>
      <c r="CV44" s="5"/>
      <c r="CW44" s="26"/>
      <c r="CX44" s="5"/>
      <c r="CY44" s="26"/>
      <c r="CZ44" s="5"/>
      <c r="DA44" s="26"/>
      <c r="DB44" s="5"/>
      <c r="DC44" s="26"/>
      <c r="DD44" s="5"/>
      <c r="DE44" s="26"/>
      <c r="DF44" s="5"/>
      <c r="DG44" s="26"/>
      <c r="DH44" s="5"/>
      <c r="DI44" s="26"/>
    </row>
    <row r="45" spans="1:113" x14ac:dyDescent="0.2">
      <c r="A45" s="6"/>
      <c r="B45" s="5"/>
      <c r="C45" s="26"/>
      <c r="D45" s="5"/>
      <c r="E45" s="26"/>
      <c r="F45" s="5"/>
      <c r="G45" s="26"/>
      <c r="H45" s="5"/>
      <c r="I45" s="26"/>
      <c r="J45" s="5"/>
      <c r="K45" s="26"/>
      <c r="L45" s="5"/>
      <c r="M45" s="26"/>
      <c r="N45" s="5"/>
      <c r="O45" s="26"/>
      <c r="P45" s="5"/>
      <c r="Q45" s="26"/>
      <c r="R45" s="5"/>
      <c r="S45" s="26"/>
      <c r="T45" s="5"/>
      <c r="U45" s="26"/>
      <c r="V45" s="5"/>
      <c r="W45" s="26"/>
      <c r="X45" s="5"/>
      <c r="Y45" s="26"/>
      <c r="Z45" s="5"/>
      <c r="AA45" s="26"/>
      <c r="AB45" s="5"/>
      <c r="AC45" s="26"/>
      <c r="AD45" s="5"/>
      <c r="AE45" s="26"/>
      <c r="AF45" s="5"/>
      <c r="AG45" s="26"/>
      <c r="AH45" s="5"/>
      <c r="AI45" s="26"/>
      <c r="AJ45" s="5"/>
      <c r="AK45" s="26"/>
      <c r="AL45" s="5"/>
      <c r="AM45" s="26"/>
      <c r="AN45" s="5"/>
      <c r="AO45" s="26"/>
      <c r="AP45" s="5"/>
      <c r="AQ45" s="26"/>
      <c r="AR45" s="5"/>
      <c r="AS45" s="26"/>
      <c r="AT45" s="5"/>
      <c r="AU45" s="26"/>
      <c r="AV45" s="5"/>
      <c r="AW45" s="26"/>
      <c r="AX45" s="5"/>
      <c r="AY45" s="26"/>
      <c r="AZ45" s="5"/>
      <c r="BA45" s="26"/>
      <c r="BB45" s="5"/>
      <c r="BC45" s="26"/>
      <c r="BD45" s="5"/>
      <c r="BE45" s="26"/>
      <c r="BF45" s="5"/>
      <c r="BG45" s="26"/>
      <c r="BH45" s="5"/>
      <c r="BI45" s="26"/>
      <c r="BJ45" s="5"/>
      <c r="BK45" s="26"/>
      <c r="BL45" s="5"/>
      <c r="BM45" s="26"/>
      <c r="BN45" s="5"/>
      <c r="BO45" s="26"/>
      <c r="BP45" s="5"/>
      <c r="BQ45" s="26"/>
      <c r="BR45" s="5"/>
      <c r="BS45" s="26"/>
      <c r="BT45" s="5"/>
      <c r="BU45" s="26"/>
      <c r="BV45" s="5"/>
      <c r="BW45" s="26"/>
      <c r="BX45" s="5"/>
      <c r="BY45" s="26"/>
      <c r="BZ45" s="5"/>
      <c r="CA45" s="26"/>
      <c r="CB45" s="5"/>
      <c r="CC45" s="26"/>
      <c r="CD45" s="5"/>
      <c r="CE45" s="26"/>
      <c r="CF45" s="5"/>
      <c r="CG45" s="26"/>
      <c r="CH45" s="5"/>
      <c r="CI45" s="26"/>
      <c r="CJ45" s="5"/>
      <c r="CK45" s="26"/>
      <c r="CL45" s="5"/>
      <c r="CM45" s="26"/>
      <c r="CN45" s="5"/>
      <c r="CO45" s="26"/>
      <c r="CP45" s="5"/>
      <c r="CQ45" s="26"/>
      <c r="CR45" s="5"/>
      <c r="CS45" s="26"/>
      <c r="CT45" s="5"/>
      <c r="CU45" s="26"/>
      <c r="CV45" s="5"/>
      <c r="CW45" s="26"/>
      <c r="CX45" s="5"/>
      <c r="CY45" s="26"/>
      <c r="CZ45" s="5"/>
      <c r="DA45" s="26"/>
      <c r="DB45" s="5"/>
      <c r="DC45" s="26"/>
      <c r="DD45" s="5"/>
      <c r="DE45" s="26"/>
      <c r="DF45" s="5"/>
      <c r="DG45" s="26"/>
      <c r="DH45" s="5"/>
      <c r="DI45" s="26"/>
    </row>
    <row r="46" spans="1:113" x14ac:dyDescent="0.2">
      <c r="A46" s="6"/>
      <c r="B46" s="5"/>
      <c r="C46" s="26"/>
      <c r="D46" s="5"/>
      <c r="E46" s="26"/>
      <c r="F46" s="5"/>
      <c r="G46" s="26"/>
      <c r="H46" s="5"/>
      <c r="I46" s="26"/>
      <c r="J46" s="5"/>
      <c r="K46" s="26"/>
      <c r="L46" s="5"/>
      <c r="M46" s="26"/>
      <c r="N46" s="5"/>
      <c r="O46" s="26"/>
      <c r="P46" s="5"/>
      <c r="Q46" s="26"/>
      <c r="R46" s="5"/>
      <c r="S46" s="26"/>
      <c r="T46" s="5"/>
      <c r="U46" s="26"/>
      <c r="V46" s="5"/>
      <c r="W46" s="26"/>
      <c r="X46" s="5"/>
      <c r="Y46" s="26"/>
      <c r="Z46" s="5"/>
      <c r="AA46" s="26"/>
      <c r="AB46" s="5"/>
      <c r="AC46" s="26"/>
      <c r="AD46" s="5"/>
      <c r="AE46" s="26"/>
      <c r="AF46" s="5"/>
      <c r="AG46" s="26"/>
      <c r="AH46" s="5"/>
      <c r="AI46" s="26"/>
      <c r="AJ46" s="5"/>
      <c r="AK46" s="26"/>
      <c r="AL46" s="5"/>
      <c r="AM46" s="26"/>
      <c r="AN46" s="5"/>
      <c r="AO46" s="26"/>
      <c r="AP46" s="5"/>
      <c r="AQ46" s="26"/>
      <c r="AR46" s="5"/>
      <c r="AS46" s="26"/>
      <c r="AT46" s="5"/>
      <c r="AU46" s="26"/>
      <c r="AV46" s="5"/>
      <c r="AW46" s="26"/>
      <c r="AX46" s="5"/>
      <c r="AY46" s="26"/>
      <c r="AZ46" s="5"/>
      <c r="BA46" s="26"/>
      <c r="BB46" s="5"/>
      <c r="BC46" s="26"/>
      <c r="BD46" s="5"/>
      <c r="BE46" s="26"/>
      <c r="BF46" s="5"/>
      <c r="BG46" s="26"/>
      <c r="BH46" s="5"/>
      <c r="BI46" s="26"/>
      <c r="BJ46" s="5"/>
      <c r="BK46" s="26"/>
      <c r="BL46" s="5"/>
      <c r="BM46" s="26"/>
      <c r="BN46" s="5"/>
      <c r="BO46" s="26"/>
      <c r="BP46" s="5"/>
      <c r="BQ46" s="26"/>
      <c r="BR46" s="5"/>
      <c r="BS46" s="26"/>
      <c r="BT46" s="5"/>
      <c r="BU46" s="26"/>
      <c r="BV46" s="5"/>
      <c r="BW46" s="26"/>
      <c r="BX46" s="5"/>
      <c r="BY46" s="26"/>
      <c r="BZ46" s="5"/>
      <c r="CA46" s="26"/>
      <c r="CB46" s="5"/>
      <c r="CC46" s="26"/>
      <c r="CD46" s="5"/>
      <c r="CE46" s="26"/>
      <c r="CF46" s="5"/>
      <c r="CG46" s="26"/>
      <c r="CH46" s="5"/>
      <c r="CI46" s="26"/>
      <c r="CJ46" s="5"/>
      <c r="CK46" s="26"/>
      <c r="CL46" s="5"/>
      <c r="CM46" s="26"/>
      <c r="CN46" s="5"/>
      <c r="CO46" s="26"/>
      <c r="CP46" s="5"/>
      <c r="CQ46" s="26"/>
      <c r="CR46" s="5"/>
      <c r="CS46" s="26"/>
      <c r="CT46" s="5"/>
      <c r="CU46" s="26"/>
      <c r="CV46" s="5"/>
      <c r="CW46" s="26"/>
      <c r="CX46" s="5"/>
      <c r="CY46" s="26"/>
      <c r="CZ46" s="5"/>
      <c r="DA46" s="26"/>
      <c r="DB46" s="5"/>
      <c r="DC46" s="26"/>
      <c r="DD46" s="5"/>
      <c r="DE46" s="26"/>
      <c r="DF46" s="5"/>
      <c r="DG46" s="26"/>
      <c r="DH46" s="5"/>
      <c r="DI46" s="26"/>
    </row>
    <row r="47" spans="1:113" x14ac:dyDescent="0.2">
      <c r="A47" s="6"/>
      <c r="B47" s="5"/>
      <c r="C47" s="26"/>
      <c r="D47" s="5"/>
      <c r="E47" s="26"/>
      <c r="F47" s="5"/>
      <c r="G47" s="26"/>
      <c r="H47" s="5"/>
      <c r="I47" s="26"/>
      <c r="J47" s="5"/>
      <c r="K47" s="26"/>
      <c r="L47" s="5"/>
      <c r="M47" s="26"/>
      <c r="N47" s="5"/>
      <c r="O47" s="26"/>
      <c r="P47" s="5"/>
      <c r="Q47" s="26"/>
      <c r="R47" s="5"/>
      <c r="S47" s="26"/>
      <c r="T47" s="5"/>
      <c r="U47" s="26"/>
      <c r="V47" s="5"/>
      <c r="W47" s="26"/>
      <c r="X47" s="5"/>
      <c r="Y47" s="26"/>
      <c r="Z47" s="5"/>
      <c r="AA47" s="26"/>
      <c r="AB47" s="5"/>
      <c r="AC47" s="26"/>
      <c r="AD47" s="5"/>
      <c r="AE47" s="26"/>
      <c r="AF47" s="5"/>
      <c r="AG47" s="26"/>
      <c r="AH47" s="5"/>
      <c r="AI47" s="26"/>
      <c r="AJ47" s="5"/>
      <c r="AK47" s="26"/>
      <c r="AL47" s="5"/>
      <c r="AM47" s="26"/>
      <c r="AN47" s="5"/>
      <c r="AO47" s="26"/>
      <c r="AP47" s="5"/>
      <c r="AQ47" s="26"/>
      <c r="AR47" s="5"/>
      <c r="AS47" s="26"/>
      <c r="AT47" s="5"/>
      <c r="AU47" s="26"/>
      <c r="AV47" s="5"/>
      <c r="AW47" s="26"/>
      <c r="AX47" s="5"/>
      <c r="AY47" s="26"/>
      <c r="AZ47" s="5"/>
      <c r="BA47" s="26"/>
      <c r="BB47" s="5"/>
      <c r="BC47" s="26"/>
      <c r="BD47" s="5"/>
      <c r="BE47" s="26"/>
      <c r="BF47" s="5"/>
      <c r="BG47" s="26"/>
      <c r="BH47" s="5"/>
      <c r="BI47" s="26"/>
      <c r="BJ47" s="5"/>
      <c r="BK47" s="26"/>
      <c r="BL47" s="5"/>
      <c r="BM47" s="26"/>
      <c r="BN47" s="5"/>
      <c r="BO47" s="26"/>
      <c r="BP47" s="5"/>
      <c r="BQ47" s="26"/>
      <c r="BR47" s="5"/>
      <c r="BS47" s="26"/>
      <c r="BT47" s="5"/>
      <c r="BU47" s="26"/>
      <c r="BV47" s="5"/>
      <c r="BW47" s="26"/>
      <c r="BX47" s="5"/>
      <c r="BY47" s="26"/>
      <c r="BZ47" s="5"/>
      <c r="CA47" s="26"/>
      <c r="CB47" s="5"/>
      <c r="CC47" s="26"/>
      <c r="CD47" s="5"/>
      <c r="CE47" s="26"/>
      <c r="CF47" s="5"/>
      <c r="CG47" s="26"/>
      <c r="CH47" s="5"/>
      <c r="CI47" s="26"/>
      <c r="CJ47" s="5"/>
      <c r="CK47" s="26"/>
      <c r="CL47" s="5"/>
      <c r="CM47" s="26"/>
      <c r="CN47" s="5"/>
      <c r="CO47" s="26"/>
      <c r="CP47" s="5"/>
      <c r="CQ47" s="26"/>
      <c r="CR47" s="5"/>
      <c r="CS47" s="26"/>
      <c r="CT47" s="5"/>
      <c r="CU47" s="26"/>
      <c r="CV47" s="5"/>
      <c r="CW47" s="26"/>
      <c r="CX47" s="5"/>
      <c r="CY47" s="26"/>
      <c r="CZ47" s="5"/>
      <c r="DA47" s="26"/>
      <c r="DB47" s="5"/>
      <c r="DC47" s="26"/>
      <c r="DD47" s="5"/>
      <c r="DE47" s="26"/>
      <c r="DF47" s="5"/>
      <c r="DG47" s="26"/>
      <c r="DH47" s="5"/>
      <c r="DI47" s="26"/>
    </row>
    <row r="48" spans="1:113" x14ac:dyDescent="0.2">
      <c r="A48" s="6"/>
      <c r="B48" s="5"/>
      <c r="C48" s="26"/>
      <c r="D48" s="5"/>
      <c r="E48" s="26"/>
      <c r="F48" s="5"/>
      <c r="G48" s="26"/>
      <c r="H48" s="5"/>
      <c r="I48" s="26"/>
      <c r="J48" s="5"/>
      <c r="K48" s="26"/>
      <c r="L48" s="5"/>
      <c r="M48" s="26"/>
      <c r="N48" s="5"/>
      <c r="O48" s="26"/>
      <c r="P48" s="5"/>
      <c r="Q48" s="26"/>
      <c r="R48" s="5"/>
      <c r="S48" s="26"/>
      <c r="T48" s="5"/>
      <c r="U48" s="26"/>
      <c r="V48" s="5"/>
      <c r="W48" s="26"/>
      <c r="X48" s="5"/>
      <c r="Y48" s="26"/>
      <c r="Z48" s="5"/>
      <c r="AA48" s="26"/>
      <c r="AB48" s="5"/>
      <c r="AC48" s="26"/>
      <c r="AD48" s="5"/>
      <c r="AE48" s="26"/>
      <c r="AF48" s="5"/>
      <c r="AG48" s="26"/>
      <c r="AH48" s="5"/>
      <c r="AI48" s="26"/>
      <c r="AJ48" s="5"/>
      <c r="AK48" s="26"/>
      <c r="AL48" s="5"/>
      <c r="AM48" s="26"/>
      <c r="AN48" s="5"/>
      <c r="AO48" s="26"/>
      <c r="AP48" s="5"/>
      <c r="AQ48" s="26"/>
      <c r="AR48" s="5"/>
      <c r="AS48" s="26"/>
      <c r="AT48" s="5"/>
      <c r="AU48" s="26"/>
      <c r="AV48" s="5"/>
      <c r="AW48" s="26"/>
      <c r="AX48" s="5"/>
      <c r="AY48" s="26"/>
      <c r="AZ48" s="5"/>
      <c r="BA48" s="26"/>
      <c r="BB48" s="5"/>
      <c r="BC48" s="26"/>
      <c r="BD48" s="5"/>
      <c r="BE48" s="26"/>
      <c r="BF48" s="5"/>
      <c r="BG48" s="26"/>
      <c r="BH48" s="5"/>
      <c r="BI48" s="26"/>
      <c r="BJ48" s="5"/>
      <c r="BK48" s="26"/>
      <c r="BL48" s="5"/>
      <c r="BM48" s="26"/>
      <c r="BN48" s="5"/>
      <c r="BO48" s="26"/>
      <c r="BP48" s="5"/>
      <c r="BQ48" s="26"/>
      <c r="BR48" s="5"/>
      <c r="BS48" s="26"/>
      <c r="BT48" s="5"/>
      <c r="BU48" s="26"/>
      <c r="BV48" s="5"/>
      <c r="BW48" s="26"/>
      <c r="BX48" s="5"/>
      <c r="BY48" s="26"/>
      <c r="BZ48" s="5"/>
      <c r="CA48" s="26"/>
      <c r="CB48" s="5"/>
      <c r="CC48" s="26"/>
      <c r="CD48" s="5"/>
      <c r="CE48" s="26"/>
      <c r="CF48" s="5"/>
      <c r="CG48" s="26"/>
      <c r="CH48" s="5"/>
      <c r="CI48" s="26"/>
      <c r="CJ48" s="5"/>
      <c r="CK48" s="26"/>
      <c r="CL48" s="5"/>
      <c r="CM48" s="26"/>
      <c r="CN48" s="5"/>
      <c r="CO48" s="26"/>
      <c r="CP48" s="5"/>
      <c r="CQ48" s="26"/>
      <c r="CR48" s="5"/>
      <c r="CS48" s="26"/>
      <c r="CT48" s="5"/>
      <c r="CU48" s="26"/>
      <c r="CV48" s="5"/>
      <c r="CW48" s="26"/>
      <c r="CX48" s="5"/>
      <c r="CY48" s="26"/>
      <c r="CZ48" s="5"/>
      <c r="DA48" s="26"/>
      <c r="DB48" s="5"/>
      <c r="DC48" s="26"/>
      <c r="DD48" s="5"/>
      <c r="DE48" s="26"/>
      <c r="DF48" s="5"/>
      <c r="DG48" s="26"/>
      <c r="DH48" s="5"/>
      <c r="DI48" s="26"/>
    </row>
    <row r="49" spans="1:113" x14ac:dyDescent="0.2">
      <c r="A49" s="6"/>
      <c r="B49" s="5"/>
      <c r="C49" s="26"/>
      <c r="D49" s="5"/>
      <c r="E49" s="26"/>
      <c r="F49" s="5"/>
      <c r="G49" s="26"/>
      <c r="H49" s="5"/>
      <c r="I49" s="26"/>
      <c r="J49" s="5"/>
      <c r="K49" s="26"/>
      <c r="L49" s="5"/>
      <c r="M49" s="26"/>
      <c r="N49" s="5"/>
      <c r="O49" s="26"/>
      <c r="P49" s="5"/>
      <c r="Q49" s="26"/>
      <c r="R49" s="5"/>
      <c r="S49" s="26"/>
      <c r="T49" s="5"/>
      <c r="U49" s="26"/>
      <c r="V49" s="5"/>
      <c r="W49" s="26"/>
      <c r="X49" s="5"/>
      <c r="Y49" s="26"/>
      <c r="Z49" s="5"/>
      <c r="AA49" s="26"/>
      <c r="AB49" s="5"/>
      <c r="AC49" s="26"/>
      <c r="AD49" s="5"/>
      <c r="AE49" s="26"/>
      <c r="AF49" s="5"/>
      <c r="AG49" s="26"/>
      <c r="AH49" s="5"/>
      <c r="AI49" s="26"/>
      <c r="AJ49" s="5"/>
      <c r="AK49" s="26"/>
      <c r="AL49" s="5"/>
      <c r="AM49" s="26"/>
      <c r="AN49" s="5"/>
      <c r="AO49" s="26"/>
      <c r="AP49" s="5"/>
      <c r="AQ49" s="26"/>
      <c r="AR49" s="5"/>
      <c r="AS49" s="26"/>
      <c r="AT49" s="5"/>
      <c r="AU49" s="26"/>
      <c r="AV49" s="5"/>
      <c r="AW49" s="26"/>
      <c r="AX49" s="5"/>
      <c r="AY49" s="26"/>
      <c r="AZ49" s="5"/>
      <c r="BA49" s="26"/>
      <c r="BB49" s="5"/>
      <c r="BC49" s="26"/>
      <c r="BD49" s="5"/>
      <c r="BE49" s="26"/>
      <c r="BF49" s="5"/>
      <c r="BG49" s="26"/>
      <c r="BH49" s="5"/>
      <c r="BI49" s="26"/>
      <c r="BJ49" s="5"/>
      <c r="BK49" s="26"/>
      <c r="BL49" s="5"/>
      <c r="BM49" s="26"/>
      <c r="BN49" s="5"/>
      <c r="BO49" s="26"/>
      <c r="BP49" s="5"/>
      <c r="BQ49" s="26"/>
      <c r="BR49" s="5"/>
      <c r="BS49" s="26"/>
      <c r="BT49" s="5"/>
      <c r="BU49" s="26"/>
      <c r="BV49" s="5"/>
      <c r="BW49" s="26"/>
      <c r="BX49" s="5"/>
      <c r="BY49" s="26"/>
      <c r="BZ49" s="5"/>
      <c r="CA49" s="26"/>
      <c r="CB49" s="5"/>
      <c r="CC49" s="26"/>
      <c r="CD49" s="5"/>
      <c r="CE49" s="26"/>
      <c r="CF49" s="5"/>
      <c r="CG49" s="26"/>
      <c r="CH49" s="5"/>
      <c r="CI49" s="26"/>
      <c r="CJ49" s="5"/>
      <c r="CK49" s="26"/>
      <c r="CL49" s="5"/>
      <c r="CM49" s="26"/>
      <c r="CN49" s="5"/>
      <c r="CO49" s="26"/>
      <c r="CP49" s="5"/>
      <c r="CQ49" s="26"/>
      <c r="CR49" s="5"/>
      <c r="CS49" s="26"/>
      <c r="CT49" s="5"/>
      <c r="CU49" s="26"/>
      <c r="CV49" s="5"/>
      <c r="CW49" s="26"/>
      <c r="CX49" s="5"/>
      <c r="CY49" s="26"/>
      <c r="CZ49" s="5"/>
      <c r="DA49" s="26"/>
      <c r="DB49" s="5"/>
      <c r="DC49" s="26"/>
      <c r="DD49" s="5"/>
      <c r="DE49" s="26"/>
      <c r="DF49" s="5"/>
      <c r="DG49" s="26"/>
      <c r="DH49" s="5"/>
      <c r="DI49" s="26"/>
    </row>
    <row r="50" spans="1:113" x14ac:dyDescent="0.2">
      <c r="A50" s="6"/>
      <c r="B50" s="5"/>
      <c r="C50" s="26"/>
      <c r="D50" s="5"/>
      <c r="E50" s="26"/>
      <c r="F50" s="5"/>
      <c r="G50" s="26"/>
      <c r="H50" s="5"/>
      <c r="I50" s="26"/>
      <c r="J50" s="5"/>
      <c r="K50" s="26"/>
      <c r="L50" s="5"/>
      <c r="M50" s="26"/>
      <c r="N50" s="5"/>
      <c r="O50" s="26"/>
      <c r="P50" s="5"/>
      <c r="Q50" s="26"/>
      <c r="R50" s="5"/>
      <c r="S50" s="26"/>
      <c r="T50" s="5"/>
      <c r="U50" s="26"/>
      <c r="V50" s="5"/>
      <c r="W50" s="26"/>
      <c r="X50" s="5"/>
      <c r="Y50" s="26"/>
      <c r="Z50" s="5"/>
      <c r="AA50" s="26"/>
      <c r="AB50" s="5"/>
      <c r="AC50" s="26"/>
      <c r="AD50" s="5"/>
      <c r="AE50" s="26"/>
      <c r="AF50" s="5"/>
      <c r="AG50" s="26"/>
      <c r="AH50" s="5"/>
      <c r="AI50" s="26"/>
      <c r="AJ50" s="5"/>
      <c r="AK50" s="26"/>
      <c r="AL50" s="5"/>
      <c r="AM50" s="26"/>
      <c r="AN50" s="5"/>
      <c r="AO50" s="26"/>
      <c r="AP50" s="5"/>
      <c r="AQ50" s="26"/>
      <c r="AR50" s="5"/>
      <c r="AS50" s="26"/>
      <c r="AT50" s="5"/>
      <c r="AU50" s="26"/>
      <c r="AV50" s="5"/>
      <c r="AW50" s="26"/>
      <c r="AX50" s="5"/>
      <c r="AY50" s="26"/>
      <c r="AZ50" s="5"/>
      <c r="BA50" s="26"/>
      <c r="BB50" s="5"/>
      <c r="BC50" s="26"/>
      <c r="BD50" s="5"/>
      <c r="BE50" s="26"/>
      <c r="BF50" s="5"/>
      <c r="BG50" s="26"/>
      <c r="BH50" s="5"/>
      <c r="BI50" s="26"/>
      <c r="BJ50" s="5"/>
      <c r="BK50" s="26"/>
      <c r="BL50" s="5"/>
      <c r="BM50" s="26"/>
      <c r="BN50" s="5"/>
      <c r="BO50" s="26"/>
      <c r="BP50" s="5"/>
      <c r="BQ50" s="26"/>
      <c r="BR50" s="5"/>
      <c r="BS50" s="26"/>
      <c r="BT50" s="5"/>
      <c r="BU50" s="26"/>
      <c r="BV50" s="5"/>
      <c r="BW50" s="26"/>
      <c r="BX50" s="5"/>
      <c r="BY50" s="26"/>
      <c r="BZ50" s="5"/>
      <c r="CA50" s="26"/>
      <c r="CB50" s="5"/>
      <c r="CC50" s="26"/>
      <c r="CD50" s="5"/>
      <c r="CE50" s="26"/>
      <c r="CF50" s="5"/>
      <c r="CG50" s="26"/>
      <c r="CH50" s="5"/>
      <c r="CI50" s="26"/>
      <c r="CJ50" s="5"/>
      <c r="CK50" s="26"/>
      <c r="CL50" s="5"/>
      <c r="CM50" s="26"/>
      <c r="CN50" s="5"/>
      <c r="CO50" s="26"/>
      <c r="CP50" s="5"/>
      <c r="CQ50" s="26"/>
      <c r="CR50" s="5"/>
      <c r="CS50" s="26"/>
      <c r="CT50" s="5"/>
      <c r="CU50" s="26"/>
      <c r="CV50" s="5"/>
      <c r="CW50" s="26"/>
      <c r="CX50" s="5"/>
      <c r="CY50" s="26"/>
      <c r="CZ50" s="5"/>
      <c r="DA50" s="26"/>
      <c r="DB50" s="5"/>
      <c r="DC50" s="26"/>
      <c r="DD50" s="5"/>
      <c r="DE50" s="26"/>
      <c r="DF50" s="5"/>
      <c r="DG50" s="26"/>
      <c r="DH50" s="5"/>
      <c r="DI50" s="26"/>
    </row>
    <row r="51" spans="1:113" x14ac:dyDescent="0.2">
      <c r="A51" s="6"/>
      <c r="B51" s="5"/>
      <c r="C51" s="26"/>
      <c r="D51" s="5"/>
      <c r="E51" s="26"/>
      <c r="F51" s="5"/>
      <c r="G51" s="26"/>
      <c r="H51" s="5"/>
      <c r="I51" s="26"/>
      <c r="J51" s="5"/>
      <c r="K51" s="26"/>
      <c r="L51" s="5"/>
      <c r="M51" s="26"/>
      <c r="N51" s="5"/>
      <c r="O51" s="26"/>
      <c r="P51" s="5"/>
      <c r="Q51" s="26"/>
      <c r="R51" s="5"/>
      <c r="S51" s="26"/>
      <c r="T51" s="5"/>
      <c r="U51" s="26"/>
      <c r="V51" s="5"/>
      <c r="W51" s="26"/>
      <c r="X51" s="5"/>
      <c r="Y51" s="26"/>
      <c r="Z51" s="5"/>
      <c r="AA51" s="26"/>
      <c r="AB51" s="5"/>
      <c r="AC51" s="26"/>
      <c r="AD51" s="5"/>
      <c r="AE51" s="26"/>
      <c r="AF51" s="5"/>
      <c r="AG51" s="26"/>
      <c r="AH51" s="5"/>
      <c r="AI51" s="26"/>
      <c r="AJ51" s="5"/>
      <c r="AK51" s="26"/>
      <c r="AL51" s="5"/>
      <c r="AM51" s="26"/>
      <c r="AN51" s="5"/>
      <c r="AO51" s="26"/>
      <c r="AP51" s="5"/>
      <c r="AQ51" s="26"/>
      <c r="AR51" s="5"/>
      <c r="AS51" s="26"/>
      <c r="AT51" s="5"/>
      <c r="AU51" s="26"/>
      <c r="AV51" s="5"/>
      <c r="AW51" s="26"/>
      <c r="AX51" s="5"/>
      <c r="AY51" s="26"/>
      <c r="AZ51" s="5"/>
      <c r="BA51" s="26"/>
      <c r="BB51" s="5"/>
      <c r="BC51" s="26"/>
      <c r="BD51" s="5"/>
      <c r="BE51" s="26"/>
      <c r="BF51" s="5"/>
      <c r="BG51" s="26"/>
      <c r="BH51" s="5"/>
      <c r="BI51" s="26"/>
      <c r="BJ51" s="5"/>
      <c r="BK51" s="26"/>
      <c r="BL51" s="5"/>
      <c r="BM51" s="26"/>
      <c r="BN51" s="5"/>
      <c r="BO51" s="26"/>
      <c r="BP51" s="5"/>
      <c r="BQ51" s="26"/>
      <c r="BR51" s="5"/>
      <c r="BS51" s="26"/>
      <c r="BT51" s="5"/>
      <c r="BU51" s="26"/>
      <c r="BV51" s="5"/>
      <c r="BW51" s="26"/>
      <c r="BX51" s="5"/>
      <c r="BY51" s="26"/>
      <c r="BZ51" s="5"/>
      <c r="CA51" s="26"/>
      <c r="CB51" s="5"/>
      <c r="CC51" s="26"/>
      <c r="CD51" s="5"/>
      <c r="CE51" s="26"/>
      <c r="CF51" s="5"/>
      <c r="CG51" s="26"/>
      <c r="CH51" s="5"/>
      <c r="CI51" s="26"/>
      <c r="CJ51" s="5"/>
      <c r="CK51" s="26"/>
      <c r="CL51" s="5"/>
      <c r="CM51" s="26"/>
      <c r="CN51" s="5"/>
      <c r="CO51" s="26"/>
      <c r="CP51" s="5"/>
      <c r="CQ51" s="26"/>
      <c r="CR51" s="5"/>
      <c r="CS51" s="26"/>
      <c r="CT51" s="5"/>
      <c r="CU51" s="26"/>
      <c r="CV51" s="5"/>
      <c r="CW51" s="26"/>
      <c r="CX51" s="5"/>
      <c r="CY51" s="26"/>
      <c r="CZ51" s="5"/>
      <c r="DA51" s="26"/>
      <c r="DB51" s="5"/>
      <c r="DC51" s="26"/>
      <c r="DD51" s="5"/>
      <c r="DE51" s="26"/>
      <c r="DF51" s="5"/>
      <c r="DG51" s="26"/>
      <c r="DH51" s="5"/>
      <c r="DI51" s="26"/>
    </row>
    <row r="52" spans="1:113" x14ac:dyDescent="0.2">
      <c r="A52" s="6"/>
      <c r="B52" s="5"/>
      <c r="C52" s="26"/>
      <c r="D52" s="5"/>
      <c r="E52" s="26"/>
      <c r="F52" s="5"/>
      <c r="G52" s="26"/>
      <c r="H52" s="5"/>
      <c r="I52" s="26"/>
      <c r="J52" s="5"/>
      <c r="K52" s="26"/>
      <c r="L52" s="5"/>
      <c r="M52" s="26"/>
      <c r="N52" s="5"/>
      <c r="O52" s="26"/>
      <c r="P52" s="5"/>
      <c r="Q52" s="26"/>
      <c r="R52" s="5"/>
      <c r="S52" s="26"/>
      <c r="T52" s="5"/>
      <c r="U52" s="26"/>
      <c r="V52" s="5"/>
      <c r="W52" s="26"/>
      <c r="X52" s="5"/>
      <c r="Y52" s="26"/>
      <c r="Z52" s="5"/>
      <c r="AA52" s="26"/>
      <c r="AB52" s="5"/>
      <c r="AC52" s="26"/>
      <c r="AD52" s="5"/>
      <c r="AE52" s="26"/>
      <c r="AF52" s="5"/>
      <c r="AG52" s="26"/>
      <c r="AH52" s="5"/>
      <c r="AI52" s="26"/>
      <c r="AJ52" s="5"/>
      <c r="AK52" s="26"/>
      <c r="AL52" s="5"/>
      <c r="AM52" s="26"/>
      <c r="AN52" s="5"/>
      <c r="AO52" s="26"/>
      <c r="AP52" s="5"/>
      <c r="AQ52" s="26"/>
      <c r="AR52" s="5"/>
      <c r="AS52" s="26"/>
      <c r="AT52" s="5"/>
      <c r="AU52" s="26"/>
      <c r="AV52" s="5"/>
      <c r="AW52" s="26"/>
      <c r="AX52" s="5"/>
      <c r="AY52" s="26"/>
      <c r="AZ52" s="5"/>
      <c r="BA52" s="26"/>
      <c r="BB52" s="5"/>
      <c r="BC52" s="26"/>
      <c r="BD52" s="5"/>
      <c r="BE52" s="26"/>
      <c r="BF52" s="5"/>
      <c r="BG52" s="26"/>
      <c r="BH52" s="5"/>
      <c r="BI52" s="26"/>
      <c r="BJ52" s="5"/>
      <c r="BK52" s="26"/>
      <c r="BL52" s="5"/>
      <c r="BM52" s="26"/>
      <c r="BN52" s="5"/>
      <c r="BO52" s="26"/>
      <c r="BP52" s="5"/>
      <c r="BQ52" s="26"/>
      <c r="BR52" s="5"/>
      <c r="BS52" s="26"/>
      <c r="BT52" s="5"/>
      <c r="BU52" s="26"/>
      <c r="BV52" s="5"/>
      <c r="BW52" s="26"/>
      <c r="BX52" s="5"/>
      <c r="BY52" s="26"/>
      <c r="BZ52" s="5"/>
      <c r="CA52" s="26"/>
      <c r="CB52" s="5"/>
      <c r="CC52" s="26"/>
      <c r="CD52" s="5"/>
      <c r="CE52" s="26"/>
      <c r="CF52" s="5"/>
      <c r="CG52" s="26"/>
      <c r="CH52" s="5"/>
      <c r="CI52" s="26"/>
      <c r="CJ52" s="5"/>
      <c r="CK52" s="26"/>
      <c r="CL52" s="5"/>
      <c r="CM52" s="26"/>
      <c r="CN52" s="5"/>
      <c r="CO52" s="26"/>
      <c r="CP52" s="5"/>
      <c r="CQ52" s="26"/>
      <c r="CR52" s="5"/>
      <c r="CS52" s="26"/>
      <c r="CT52" s="5"/>
      <c r="CU52" s="26"/>
      <c r="CV52" s="5"/>
      <c r="CW52" s="26"/>
      <c r="CX52" s="5"/>
      <c r="CY52" s="26"/>
      <c r="CZ52" s="5"/>
      <c r="DA52" s="26"/>
      <c r="DB52" s="5"/>
      <c r="DC52" s="26"/>
      <c r="DD52" s="5"/>
      <c r="DE52" s="26"/>
      <c r="DF52" s="5"/>
      <c r="DG52" s="26"/>
      <c r="DH52" s="5"/>
      <c r="DI52" s="26"/>
    </row>
    <row r="53" spans="1:113" x14ac:dyDescent="0.2">
      <c r="A53" s="6"/>
      <c r="B53" s="5"/>
      <c r="C53" s="26"/>
      <c r="D53" s="5"/>
      <c r="E53" s="26"/>
      <c r="F53" s="5"/>
      <c r="G53" s="26"/>
      <c r="H53" s="5"/>
      <c r="I53" s="26"/>
      <c r="J53" s="5"/>
      <c r="K53" s="26"/>
      <c r="L53" s="5"/>
      <c r="M53" s="26"/>
      <c r="N53" s="5"/>
      <c r="O53" s="26"/>
      <c r="P53" s="5"/>
      <c r="Q53" s="26"/>
      <c r="R53" s="5"/>
      <c r="S53" s="26"/>
      <c r="T53" s="5"/>
      <c r="U53" s="26"/>
      <c r="V53" s="5"/>
      <c r="W53" s="26"/>
      <c r="X53" s="5"/>
      <c r="Y53" s="26"/>
      <c r="Z53" s="5"/>
      <c r="AA53" s="26"/>
      <c r="AB53" s="5"/>
      <c r="AC53" s="26"/>
      <c r="AD53" s="5"/>
      <c r="AE53" s="26"/>
      <c r="AF53" s="5"/>
      <c r="AG53" s="26"/>
      <c r="AH53" s="5"/>
      <c r="AI53" s="26"/>
      <c r="AJ53" s="5"/>
      <c r="AK53" s="26"/>
      <c r="AL53" s="5"/>
      <c r="AM53" s="26"/>
      <c r="AN53" s="5"/>
      <c r="AO53" s="26"/>
      <c r="AP53" s="5"/>
      <c r="AQ53" s="26"/>
      <c r="AR53" s="5"/>
      <c r="AS53" s="26"/>
      <c r="AT53" s="5"/>
      <c r="AU53" s="26"/>
      <c r="AV53" s="5"/>
      <c r="AW53" s="26"/>
      <c r="AX53" s="5"/>
      <c r="AY53" s="26"/>
      <c r="AZ53" s="5"/>
      <c r="BA53" s="26"/>
      <c r="BB53" s="5"/>
      <c r="BC53" s="26"/>
      <c r="BD53" s="5"/>
      <c r="BE53" s="26"/>
      <c r="BF53" s="5"/>
      <c r="BG53" s="26"/>
      <c r="BH53" s="5"/>
      <c r="BI53" s="26"/>
      <c r="BJ53" s="5"/>
      <c r="BK53" s="26"/>
      <c r="BL53" s="5"/>
      <c r="BM53" s="26"/>
      <c r="BN53" s="5"/>
      <c r="BO53" s="26"/>
      <c r="BP53" s="5"/>
      <c r="BQ53" s="26"/>
      <c r="BR53" s="5"/>
      <c r="BS53" s="26"/>
      <c r="BT53" s="5"/>
      <c r="BU53" s="26"/>
      <c r="BV53" s="5"/>
      <c r="BW53" s="26"/>
      <c r="BX53" s="5"/>
      <c r="BY53" s="26"/>
      <c r="BZ53" s="5"/>
      <c r="CA53" s="26"/>
      <c r="CB53" s="5"/>
      <c r="CC53" s="26"/>
      <c r="CD53" s="5"/>
      <c r="CE53" s="26"/>
      <c r="CF53" s="5"/>
      <c r="CG53" s="26"/>
      <c r="CH53" s="5"/>
      <c r="CI53" s="26"/>
      <c r="CJ53" s="5"/>
      <c r="CK53" s="26"/>
      <c r="CL53" s="5"/>
      <c r="CM53" s="26"/>
      <c r="CN53" s="5"/>
      <c r="CO53" s="26"/>
      <c r="CP53" s="5"/>
      <c r="CQ53" s="26"/>
      <c r="CR53" s="5"/>
      <c r="CS53" s="26"/>
      <c r="CT53" s="5"/>
      <c r="CU53" s="26"/>
      <c r="CV53" s="5"/>
      <c r="CW53" s="26"/>
      <c r="CX53" s="5"/>
      <c r="CY53" s="26"/>
      <c r="CZ53" s="5"/>
      <c r="DA53" s="26"/>
      <c r="DB53" s="5"/>
      <c r="DC53" s="26"/>
      <c r="DD53" s="5"/>
      <c r="DE53" s="26"/>
      <c r="DF53" s="5"/>
      <c r="DG53" s="26"/>
      <c r="DH53" s="5"/>
      <c r="DI53" s="26"/>
    </row>
    <row r="54" spans="1:113" x14ac:dyDescent="0.2">
      <c r="A54" s="6"/>
      <c r="B54" s="5"/>
      <c r="C54" s="26"/>
      <c r="D54" s="5"/>
      <c r="E54" s="26"/>
      <c r="F54" s="5"/>
      <c r="G54" s="26"/>
      <c r="H54" s="5"/>
      <c r="I54" s="26"/>
      <c r="J54" s="5"/>
      <c r="K54" s="26"/>
      <c r="L54" s="5"/>
      <c r="M54" s="26"/>
      <c r="N54" s="5"/>
      <c r="O54" s="26"/>
      <c r="P54" s="5"/>
      <c r="Q54" s="26"/>
      <c r="R54" s="5"/>
      <c r="S54" s="26"/>
      <c r="T54" s="5"/>
      <c r="U54" s="26"/>
      <c r="V54" s="5"/>
      <c r="W54" s="26"/>
      <c r="X54" s="5"/>
      <c r="Y54" s="26"/>
      <c r="Z54" s="5"/>
      <c r="AA54" s="26"/>
      <c r="AB54" s="5"/>
      <c r="AC54" s="26"/>
      <c r="AD54" s="5"/>
      <c r="AE54" s="26"/>
      <c r="AF54" s="5"/>
      <c r="AG54" s="26"/>
      <c r="AH54" s="5"/>
      <c r="AI54" s="26"/>
      <c r="AJ54" s="5"/>
      <c r="AK54" s="26"/>
      <c r="AL54" s="5"/>
      <c r="AM54" s="26"/>
      <c r="AN54" s="5"/>
      <c r="AO54" s="26"/>
      <c r="AP54" s="5"/>
      <c r="AQ54" s="26"/>
      <c r="AR54" s="5"/>
      <c r="AS54" s="26"/>
      <c r="AT54" s="5"/>
      <c r="AU54" s="26"/>
      <c r="AV54" s="5"/>
      <c r="AW54" s="26"/>
      <c r="AX54" s="5"/>
      <c r="AY54" s="26"/>
      <c r="AZ54" s="5"/>
      <c r="BA54" s="26"/>
      <c r="BB54" s="5"/>
      <c r="BC54" s="26"/>
      <c r="BD54" s="5"/>
      <c r="BE54" s="26"/>
      <c r="BF54" s="5"/>
      <c r="BG54" s="26"/>
      <c r="BH54" s="5"/>
      <c r="BI54" s="26"/>
      <c r="BJ54" s="5"/>
      <c r="BK54" s="26"/>
      <c r="BL54" s="5"/>
      <c r="BM54" s="26"/>
      <c r="BN54" s="5"/>
      <c r="BO54" s="26"/>
      <c r="BP54" s="5"/>
      <c r="BQ54" s="26"/>
      <c r="BR54" s="5"/>
      <c r="BS54" s="26"/>
      <c r="BT54" s="5"/>
      <c r="BU54" s="26"/>
      <c r="BV54" s="5"/>
      <c r="BW54" s="26"/>
      <c r="BX54" s="5"/>
      <c r="BY54" s="26"/>
      <c r="BZ54" s="5"/>
      <c r="CA54" s="26"/>
      <c r="CB54" s="5"/>
      <c r="CC54" s="26"/>
      <c r="CD54" s="5"/>
      <c r="CE54" s="26"/>
      <c r="CF54" s="5"/>
      <c r="CG54" s="26"/>
      <c r="CH54" s="5"/>
      <c r="CI54" s="26"/>
      <c r="CJ54" s="5"/>
      <c r="CK54" s="26"/>
      <c r="CL54" s="5"/>
      <c r="CM54" s="26"/>
      <c r="CN54" s="5"/>
      <c r="CO54" s="26"/>
      <c r="CP54" s="5"/>
      <c r="CQ54" s="26"/>
      <c r="CR54" s="5"/>
      <c r="CS54" s="26"/>
      <c r="CT54" s="5"/>
      <c r="CU54" s="26"/>
      <c r="CV54" s="5"/>
      <c r="CW54" s="26"/>
      <c r="CX54" s="5"/>
      <c r="CY54" s="26"/>
      <c r="CZ54" s="5"/>
      <c r="DA54" s="26"/>
      <c r="DB54" s="5"/>
      <c r="DC54" s="26"/>
      <c r="DD54" s="5"/>
      <c r="DE54" s="26"/>
      <c r="DF54" s="5"/>
      <c r="DG54" s="26"/>
      <c r="DH54" s="5"/>
      <c r="DI54" s="26"/>
    </row>
    <row r="55" spans="1:113" x14ac:dyDescent="0.2">
      <c r="A55" s="6"/>
      <c r="B55" s="5"/>
      <c r="C55" s="26"/>
      <c r="D55" s="5"/>
      <c r="E55" s="26"/>
      <c r="F55" s="5"/>
      <c r="G55" s="26"/>
      <c r="H55" s="5"/>
      <c r="I55" s="26"/>
      <c r="J55" s="5"/>
      <c r="K55" s="26"/>
      <c r="L55" s="5"/>
      <c r="M55" s="26"/>
      <c r="N55" s="5"/>
      <c r="O55" s="26"/>
      <c r="P55" s="5"/>
      <c r="Q55" s="26"/>
      <c r="R55" s="5"/>
      <c r="S55" s="26"/>
      <c r="T55" s="5"/>
      <c r="U55" s="26"/>
      <c r="V55" s="5"/>
      <c r="W55" s="26"/>
      <c r="X55" s="5"/>
      <c r="Y55" s="26"/>
      <c r="Z55" s="5"/>
      <c r="AA55" s="26"/>
      <c r="AB55" s="5"/>
      <c r="AC55" s="26"/>
      <c r="AD55" s="5"/>
      <c r="AE55" s="26"/>
      <c r="AF55" s="5"/>
      <c r="AG55" s="26"/>
      <c r="AH55" s="5"/>
      <c r="AI55" s="26"/>
      <c r="AJ55" s="5"/>
      <c r="AK55" s="26"/>
      <c r="AL55" s="5"/>
      <c r="AM55" s="26"/>
      <c r="AN55" s="5"/>
      <c r="AO55" s="26"/>
      <c r="AP55" s="5"/>
      <c r="AQ55" s="26"/>
      <c r="AR55" s="5"/>
      <c r="AS55" s="26"/>
      <c r="AT55" s="5"/>
      <c r="AU55" s="26"/>
      <c r="AV55" s="5"/>
      <c r="AW55" s="26"/>
      <c r="AX55" s="5"/>
      <c r="AY55" s="26"/>
      <c r="AZ55" s="5"/>
      <c r="BA55" s="26"/>
      <c r="BB55" s="5"/>
      <c r="BC55" s="26"/>
      <c r="BD55" s="5"/>
      <c r="BE55" s="26"/>
      <c r="BF55" s="5"/>
      <c r="BG55" s="26"/>
      <c r="BH55" s="5"/>
      <c r="BI55" s="26"/>
      <c r="BJ55" s="5"/>
      <c r="BK55" s="26"/>
      <c r="BL55" s="5"/>
      <c r="BM55" s="26"/>
      <c r="BN55" s="5"/>
      <c r="BO55" s="26"/>
      <c r="BP55" s="5"/>
      <c r="BQ55" s="26"/>
      <c r="BR55" s="5"/>
      <c r="BS55" s="26"/>
      <c r="BT55" s="5"/>
      <c r="BU55" s="26"/>
      <c r="BV55" s="5"/>
      <c r="BW55" s="26"/>
      <c r="BX55" s="5"/>
      <c r="BY55" s="26"/>
      <c r="BZ55" s="5"/>
      <c r="CA55" s="26"/>
      <c r="CB55" s="5"/>
      <c r="CC55" s="26"/>
      <c r="CD55" s="5"/>
      <c r="CE55" s="26"/>
      <c r="CF55" s="5"/>
      <c r="CG55" s="26"/>
      <c r="CH55" s="5"/>
      <c r="CI55" s="26"/>
      <c r="CJ55" s="5"/>
      <c r="CK55" s="26"/>
      <c r="CL55" s="5"/>
      <c r="CM55" s="26"/>
      <c r="CN55" s="5"/>
      <c r="CO55" s="26"/>
      <c r="CP55" s="5"/>
      <c r="CQ55" s="26"/>
      <c r="CR55" s="5"/>
      <c r="CS55" s="26"/>
      <c r="CT55" s="5"/>
      <c r="CU55" s="26"/>
      <c r="CV55" s="5"/>
      <c r="CW55" s="26"/>
      <c r="CX55" s="5"/>
      <c r="CY55" s="26"/>
      <c r="CZ55" s="5"/>
      <c r="DA55" s="26"/>
      <c r="DB55" s="5"/>
      <c r="DC55" s="26"/>
      <c r="DD55" s="5"/>
      <c r="DE55" s="26"/>
      <c r="DF55" s="5"/>
      <c r="DG55" s="26"/>
      <c r="DH55" s="5"/>
      <c r="DI55" s="26"/>
    </row>
    <row r="56" spans="1:113" x14ac:dyDescent="0.2">
      <c r="B56" s="5"/>
      <c r="C56" s="26"/>
      <c r="D56" s="5"/>
      <c r="E56" s="26"/>
      <c r="F56" s="5"/>
      <c r="G56" s="26"/>
      <c r="H56" s="5"/>
      <c r="I56" s="26"/>
      <c r="J56" s="5"/>
      <c r="K56" s="26"/>
      <c r="L56" s="5"/>
      <c r="M56" s="26"/>
      <c r="N56" s="5"/>
      <c r="O56" s="26"/>
      <c r="P56" s="5"/>
      <c r="Q56" s="26"/>
      <c r="R56" s="5"/>
      <c r="S56" s="26"/>
      <c r="T56" s="5"/>
      <c r="U56" s="26"/>
      <c r="V56" s="5"/>
      <c r="W56" s="26"/>
      <c r="X56" s="5"/>
      <c r="Y56" s="26"/>
      <c r="Z56" s="5"/>
      <c r="AA56" s="26"/>
      <c r="AB56" s="5"/>
      <c r="AC56" s="26"/>
      <c r="AD56" s="5"/>
      <c r="AE56" s="26"/>
      <c r="AF56" s="5"/>
      <c r="AG56" s="26"/>
      <c r="AH56" s="5"/>
      <c r="AI56" s="26"/>
      <c r="AJ56" s="5"/>
      <c r="AK56" s="26"/>
      <c r="AL56" s="5"/>
      <c r="AM56" s="26"/>
      <c r="AN56" s="5"/>
      <c r="AO56" s="26"/>
      <c r="AP56" s="5"/>
      <c r="AQ56" s="26"/>
      <c r="AR56" s="5"/>
      <c r="AS56" s="26"/>
      <c r="AT56" s="5"/>
      <c r="AU56" s="26"/>
      <c r="AV56" s="5"/>
      <c r="AW56" s="26"/>
      <c r="AX56" s="5"/>
      <c r="AY56" s="26"/>
      <c r="AZ56" s="5"/>
      <c r="BA56" s="26"/>
      <c r="BB56" s="5"/>
      <c r="BC56" s="26"/>
      <c r="BD56" s="5"/>
      <c r="BE56" s="26"/>
      <c r="BF56" s="5"/>
      <c r="BG56" s="26"/>
      <c r="BH56" s="5"/>
      <c r="BI56" s="26"/>
      <c r="BJ56" s="5"/>
      <c r="BK56" s="26"/>
      <c r="BL56" s="5"/>
      <c r="BM56" s="26"/>
      <c r="BN56" s="5"/>
      <c r="BO56" s="26"/>
      <c r="BP56" s="5"/>
      <c r="BQ56" s="26"/>
      <c r="BR56" s="5"/>
      <c r="BS56" s="26"/>
      <c r="BT56" s="5"/>
      <c r="BU56" s="26"/>
      <c r="BV56" s="5"/>
      <c r="BW56" s="26"/>
      <c r="BX56" s="5"/>
      <c r="BY56" s="26"/>
      <c r="BZ56" s="5"/>
      <c r="CA56" s="26"/>
      <c r="CB56" s="5"/>
      <c r="CC56" s="26"/>
      <c r="CD56" s="5"/>
      <c r="CE56" s="26"/>
      <c r="CF56" s="5"/>
      <c r="CG56" s="26"/>
      <c r="CH56" s="5"/>
      <c r="CI56" s="26"/>
      <c r="CJ56" s="5"/>
      <c r="CK56" s="26"/>
      <c r="CL56" s="5"/>
      <c r="CM56" s="26"/>
      <c r="CN56" s="5"/>
      <c r="CO56" s="26"/>
      <c r="CP56" s="5"/>
      <c r="CQ56" s="26"/>
      <c r="CR56" s="5"/>
      <c r="CS56" s="26"/>
      <c r="CT56" s="5"/>
      <c r="CU56" s="26"/>
      <c r="CV56" s="5"/>
      <c r="CW56" s="26"/>
      <c r="CX56" s="5"/>
      <c r="CY56" s="26"/>
      <c r="CZ56" s="5"/>
      <c r="DA56" s="26"/>
      <c r="DB56" s="5"/>
      <c r="DC56" s="26"/>
      <c r="DD56" s="5"/>
      <c r="DE56" s="26"/>
      <c r="DF56" s="5"/>
      <c r="DG56" s="26"/>
      <c r="DH56" s="5"/>
      <c r="DI56" s="26"/>
    </row>
    <row r="57" spans="1:113" x14ac:dyDescent="0.2">
      <c r="A57" s="6"/>
      <c r="B57" s="3"/>
      <c r="C57" s="5"/>
      <c r="D57" s="3"/>
      <c r="E57" s="5"/>
      <c r="F57" s="3"/>
      <c r="G57" s="5"/>
      <c r="H57" s="3"/>
      <c r="I57" s="5"/>
      <c r="J57" s="3"/>
      <c r="K57" s="5"/>
      <c r="L57" s="3"/>
      <c r="M57" s="5"/>
      <c r="N57" s="3"/>
      <c r="O57" s="5"/>
      <c r="P57" s="3"/>
      <c r="Q57" s="5"/>
      <c r="R57" s="3"/>
      <c r="S57" s="5"/>
      <c r="T57" s="3"/>
      <c r="U57" s="5"/>
      <c r="V57" s="3"/>
      <c r="W57" s="5"/>
      <c r="X57" s="3"/>
      <c r="Y57" s="5"/>
      <c r="Z57" s="3"/>
      <c r="AA57" s="5"/>
      <c r="AB57" s="3"/>
      <c r="AC57" s="5"/>
      <c r="AD57" s="3"/>
      <c r="AE57" s="5"/>
      <c r="AF57" s="10"/>
      <c r="AG57" s="5"/>
      <c r="AH57" s="5"/>
      <c r="AI57" s="5"/>
      <c r="AJ57" s="3"/>
      <c r="AK57" s="5"/>
      <c r="AL57" s="3"/>
      <c r="AM57" s="5"/>
      <c r="AN57" s="3"/>
      <c r="AO57" s="5"/>
      <c r="AP57" s="3"/>
      <c r="AQ57" s="5"/>
      <c r="AR57" s="3"/>
      <c r="AS57" s="5"/>
      <c r="AT57" s="5"/>
      <c r="AU57" s="5"/>
      <c r="AV57" s="3"/>
      <c r="AW57" s="5"/>
      <c r="AX57" s="5"/>
      <c r="AY57" s="5"/>
      <c r="AZ57" s="10"/>
      <c r="BA57" s="5"/>
      <c r="BB57" s="5"/>
      <c r="BC57" s="5"/>
      <c r="BD57" s="5"/>
      <c r="BE57" s="5"/>
      <c r="BF57" s="5"/>
      <c r="BG57" s="5"/>
      <c r="BH57" s="3"/>
      <c r="BI57" s="5"/>
      <c r="BJ57" s="3"/>
      <c r="BK57" s="5"/>
      <c r="BL57" s="3"/>
      <c r="BM57" s="5"/>
      <c r="BN57" s="3"/>
      <c r="BO57" s="5"/>
      <c r="BP57" s="3"/>
      <c r="BQ57" s="5"/>
      <c r="BR57" s="3"/>
      <c r="BS57" s="5"/>
      <c r="BT57" s="3"/>
      <c r="BU57" s="5"/>
      <c r="BV57" s="5"/>
      <c r="BW57" s="5"/>
      <c r="BX57" s="3"/>
      <c r="BY57" s="5"/>
      <c r="BZ57" s="3"/>
      <c r="CA57" s="5"/>
      <c r="CB57" s="5"/>
      <c r="CC57" s="5"/>
      <c r="CD57" s="5"/>
      <c r="CE57" s="5"/>
      <c r="CF57" s="5"/>
      <c r="CG57" s="5"/>
      <c r="CH57" s="5"/>
      <c r="CI57" s="5"/>
      <c r="CJ57" s="3"/>
      <c r="CK57" s="5"/>
      <c r="CL57" s="3"/>
      <c r="CM57" s="5"/>
      <c r="CN57" s="3"/>
      <c r="CO57" s="5"/>
      <c r="CP57" s="3"/>
      <c r="CQ57" s="5"/>
      <c r="CR57" s="3"/>
      <c r="CS57" s="5"/>
      <c r="CT57" s="3"/>
      <c r="CU57" s="5"/>
      <c r="CV57" s="3"/>
      <c r="CW57" s="5"/>
      <c r="CX57" s="3"/>
      <c r="CY57" s="5"/>
      <c r="CZ57" s="3"/>
      <c r="DA57" s="5"/>
      <c r="DB57" s="3"/>
      <c r="DC57" s="5"/>
      <c r="DD57" s="3"/>
      <c r="DE57" s="5"/>
      <c r="DF57" s="10"/>
      <c r="DG57" s="5"/>
      <c r="DH57" s="3"/>
      <c r="DI57" s="5"/>
    </row>
    <row r="58" spans="1:113" x14ac:dyDescent="0.2">
      <c r="A58" s="6"/>
    </row>
    <row r="59" spans="1:113" x14ac:dyDescent="0.2">
      <c r="A59" s="6"/>
      <c r="C59" s="3"/>
      <c r="E59" s="3"/>
      <c r="G59" s="3"/>
      <c r="I59" s="3"/>
      <c r="K59" s="3"/>
      <c r="M59" s="3"/>
      <c r="O59" s="3"/>
      <c r="Q59" s="3"/>
      <c r="S59" s="3"/>
      <c r="U59" s="3"/>
      <c r="W59" s="3"/>
      <c r="Y59" s="3"/>
      <c r="AA59" s="3"/>
      <c r="AC59" s="3"/>
      <c r="AE59" s="3"/>
      <c r="AG59" s="3"/>
      <c r="AI59" s="3"/>
      <c r="AK59" s="3"/>
      <c r="AM59" s="3"/>
      <c r="AO59" s="3"/>
      <c r="AQ59" s="3"/>
      <c r="AS59" s="3"/>
      <c r="AU59" s="3"/>
      <c r="AW59" s="3"/>
      <c r="AY59" s="3"/>
      <c r="BA59" s="3"/>
      <c r="BC59" s="3"/>
      <c r="BE59" s="3"/>
      <c r="BG59" s="3"/>
      <c r="BI59" s="3"/>
      <c r="BK59" s="3"/>
      <c r="BM59" s="3"/>
      <c r="BO59" s="3"/>
      <c r="BQ59" s="3"/>
      <c r="BS59" s="3"/>
      <c r="BU59" s="3"/>
      <c r="BW59" s="3"/>
      <c r="BY59" s="3"/>
      <c r="CA59" s="3"/>
      <c r="CC59" s="3"/>
      <c r="CE59" s="3"/>
      <c r="CG59" s="3"/>
      <c r="CI59" s="3"/>
      <c r="CK59" s="3"/>
      <c r="CM59" s="3"/>
      <c r="CO59" s="3"/>
      <c r="CQ59" s="3"/>
      <c r="CS59" s="3"/>
      <c r="CU59" s="3"/>
      <c r="CW59" s="3"/>
      <c r="CY59" s="3"/>
      <c r="DA59" s="3"/>
      <c r="DC59" s="3"/>
      <c r="DE59" s="3"/>
      <c r="DG59" s="3"/>
      <c r="DI59" s="3"/>
    </row>
    <row r="60" spans="1:113" x14ac:dyDescent="0.2">
      <c r="A60" s="6"/>
    </row>
    <row r="61" spans="1:113" x14ac:dyDescent="0.2">
      <c r="A61" s="6"/>
      <c r="C61" s="3"/>
      <c r="E61" s="3"/>
      <c r="G61" s="3"/>
      <c r="I61" s="3"/>
      <c r="K61" s="3"/>
      <c r="M61" s="3"/>
      <c r="O61" s="3"/>
      <c r="Q61" s="3"/>
      <c r="S61" s="3"/>
      <c r="U61" s="3"/>
      <c r="W61" s="3"/>
      <c r="Y61" s="3"/>
      <c r="AA61" s="3"/>
      <c r="AC61" s="3"/>
      <c r="AE61" s="3"/>
      <c r="AG61" s="3"/>
      <c r="AI61" s="3"/>
      <c r="AK61" s="3"/>
      <c r="AM61" s="3"/>
      <c r="AO61" s="3"/>
      <c r="AQ61" s="3"/>
      <c r="AS61" s="3"/>
      <c r="AU61" s="3"/>
      <c r="AW61" s="3"/>
      <c r="AY61" s="3"/>
      <c r="BA61" s="3"/>
      <c r="BC61" s="3"/>
      <c r="BE61" s="3"/>
      <c r="BG61" s="3"/>
      <c r="BI61" s="3"/>
      <c r="BK61" s="3"/>
      <c r="BM61" s="3"/>
      <c r="BO61" s="3"/>
      <c r="BQ61" s="3"/>
      <c r="BS61" s="3"/>
      <c r="BU61" s="3"/>
      <c r="BW61" s="3"/>
      <c r="BY61" s="3"/>
      <c r="CA61" s="3"/>
      <c r="CC61" s="3"/>
      <c r="CE61" s="3"/>
      <c r="CG61" s="3"/>
      <c r="CI61" s="3"/>
      <c r="CK61" s="3"/>
      <c r="CM61" s="3"/>
      <c r="CO61" s="3"/>
      <c r="CQ61" s="3"/>
      <c r="CS61" s="3"/>
      <c r="CU61" s="3"/>
      <c r="CW61" s="3"/>
      <c r="CY61" s="3"/>
      <c r="DA61" s="3"/>
      <c r="DC61" s="3"/>
      <c r="DE61" s="3"/>
      <c r="DG61" s="3"/>
      <c r="DI61" s="3"/>
    </row>
    <row r="62" spans="1:113" x14ac:dyDescent="0.2">
      <c r="A62" s="6"/>
    </row>
    <row r="63" spans="1:113" x14ac:dyDescent="0.2">
      <c r="A63" s="6"/>
    </row>
    <row r="64" spans="1:113" x14ac:dyDescent="0.2">
      <c r="A64" s="6"/>
    </row>
    <row r="65" spans="1:113" x14ac:dyDescent="0.2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</row>
    <row r="66" spans="1:113" x14ac:dyDescent="0.2">
      <c r="A66" s="6"/>
    </row>
    <row r="67" spans="1:113" x14ac:dyDescent="0.2">
      <c r="A67" s="6"/>
      <c r="B67" s="6"/>
      <c r="C67" s="3"/>
      <c r="D67" s="6"/>
      <c r="E67" s="3"/>
      <c r="F67" s="6"/>
      <c r="G67" s="3"/>
      <c r="H67" s="6"/>
      <c r="I67" s="3"/>
      <c r="J67" s="6"/>
      <c r="K67" s="3"/>
      <c r="L67" s="6"/>
      <c r="M67" s="3"/>
      <c r="N67" s="6"/>
      <c r="O67" s="3"/>
      <c r="P67" s="6"/>
      <c r="Q67" s="3"/>
      <c r="R67" s="6"/>
      <c r="S67" s="3"/>
      <c r="T67" s="6"/>
      <c r="U67" s="3"/>
      <c r="V67" s="6"/>
      <c r="W67" s="3"/>
      <c r="X67" s="6"/>
      <c r="Y67" s="3"/>
      <c r="Z67" s="6"/>
      <c r="AA67" s="3"/>
      <c r="AB67" s="6"/>
      <c r="AC67" s="3"/>
      <c r="AD67" s="6"/>
      <c r="AE67" s="3"/>
      <c r="AF67" s="6"/>
      <c r="AG67" s="3"/>
      <c r="AH67" s="6"/>
      <c r="AI67" s="3"/>
      <c r="AJ67" s="6"/>
      <c r="AK67" s="3"/>
      <c r="AL67" s="6"/>
      <c r="AM67" s="3"/>
      <c r="AN67" s="6"/>
      <c r="AO67" s="3"/>
      <c r="AP67" s="6"/>
      <c r="AQ67" s="3"/>
      <c r="AR67" s="6"/>
      <c r="AS67" s="3"/>
      <c r="AT67" s="6"/>
      <c r="AU67" s="3"/>
      <c r="AV67" s="6"/>
      <c r="AW67" s="3"/>
      <c r="AX67" s="6"/>
      <c r="AY67" s="3"/>
      <c r="AZ67" s="6"/>
      <c r="BA67" s="3"/>
      <c r="BB67" s="6"/>
      <c r="BC67" s="3"/>
      <c r="BD67" s="6"/>
      <c r="BE67" s="3"/>
      <c r="BF67" s="6"/>
      <c r="BG67" s="3"/>
      <c r="BH67" s="6"/>
      <c r="BI67" s="3"/>
      <c r="BJ67" s="6"/>
      <c r="BK67" s="3"/>
      <c r="BL67" s="6"/>
      <c r="BM67" s="3"/>
      <c r="BN67" s="6"/>
      <c r="BO67" s="3"/>
      <c r="BP67" s="6"/>
      <c r="BQ67" s="3"/>
      <c r="BR67" s="6"/>
      <c r="BS67" s="3"/>
      <c r="BT67" s="6"/>
      <c r="BU67" s="3"/>
      <c r="BV67" s="6"/>
      <c r="BW67" s="3"/>
      <c r="BX67" s="6"/>
      <c r="BY67" s="3"/>
      <c r="BZ67" s="6"/>
      <c r="CA67" s="3"/>
      <c r="CB67" s="6"/>
      <c r="CC67" s="3"/>
      <c r="CD67" s="6"/>
      <c r="CE67" s="3"/>
      <c r="CF67" s="6"/>
      <c r="CG67" s="3"/>
      <c r="CH67" s="6"/>
      <c r="CI67" s="3"/>
      <c r="CJ67" s="6"/>
      <c r="CK67" s="3"/>
      <c r="CL67" s="6"/>
      <c r="CM67" s="3"/>
      <c r="CN67" s="6"/>
      <c r="CO67" s="3"/>
      <c r="CP67" s="6"/>
      <c r="CQ67" s="3"/>
      <c r="CR67" s="6"/>
      <c r="CS67" s="3"/>
      <c r="CT67" s="6"/>
      <c r="CU67" s="3"/>
      <c r="CV67" s="6"/>
      <c r="CW67" s="3"/>
      <c r="CX67" s="6"/>
      <c r="CY67" s="3"/>
      <c r="CZ67" s="6"/>
      <c r="DA67" s="3"/>
      <c r="DB67" s="6"/>
      <c r="DC67" s="3"/>
      <c r="DD67" s="6"/>
      <c r="DE67" s="3"/>
      <c r="DF67" s="6"/>
      <c r="DG67" s="3"/>
      <c r="DH67" s="6"/>
      <c r="DI67" s="3"/>
    </row>
    <row r="68" spans="1:113" x14ac:dyDescent="0.2">
      <c r="A68" s="6"/>
      <c r="B68" s="6"/>
      <c r="C68" s="3"/>
      <c r="D68" s="6"/>
      <c r="E68" s="3"/>
      <c r="F68" s="6"/>
      <c r="G68" s="3"/>
      <c r="H68" s="6"/>
      <c r="I68" s="3"/>
      <c r="J68" s="6"/>
      <c r="K68" s="3"/>
      <c r="L68" s="6"/>
      <c r="M68" s="3"/>
      <c r="N68" s="6"/>
      <c r="O68" s="3"/>
      <c r="P68" s="6"/>
      <c r="Q68" s="3"/>
      <c r="R68" s="6"/>
      <c r="S68" s="3"/>
      <c r="T68" s="6"/>
      <c r="U68" s="3"/>
      <c r="V68" s="6"/>
      <c r="W68" s="3"/>
      <c r="X68" s="6"/>
      <c r="Y68" s="3"/>
      <c r="Z68" s="6"/>
      <c r="AA68" s="3"/>
      <c r="AB68" s="6"/>
      <c r="AC68" s="3"/>
      <c r="AD68" s="6"/>
      <c r="AE68" s="3"/>
      <c r="AF68" s="6"/>
      <c r="AG68" s="3"/>
      <c r="AH68" s="6"/>
      <c r="AI68" s="3"/>
      <c r="AJ68" s="6"/>
      <c r="AK68" s="3"/>
      <c r="AL68" s="6"/>
      <c r="AM68" s="3"/>
      <c r="AN68" s="6"/>
      <c r="AO68" s="3"/>
      <c r="AP68" s="6"/>
      <c r="AQ68" s="3"/>
      <c r="AR68" s="6"/>
      <c r="AS68" s="3"/>
      <c r="AT68" s="6"/>
      <c r="AU68" s="3"/>
      <c r="AV68" s="6"/>
      <c r="AW68" s="3"/>
      <c r="AX68" s="6"/>
      <c r="AY68" s="3"/>
      <c r="AZ68" s="6"/>
      <c r="BA68" s="3"/>
      <c r="BB68" s="6"/>
      <c r="BC68" s="3"/>
      <c r="BD68" s="6"/>
      <c r="BE68" s="3"/>
      <c r="BF68" s="6"/>
      <c r="BG68" s="3"/>
      <c r="BH68" s="6"/>
      <c r="BI68" s="3"/>
      <c r="BJ68" s="6"/>
      <c r="BK68" s="3"/>
      <c r="BL68" s="6"/>
      <c r="BM68" s="3"/>
      <c r="BN68" s="6"/>
      <c r="BO68" s="3"/>
      <c r="BP68" s="6"/>
      <c r="BQ68" s="3"/>
      <c r="BR68" s="6"/>
      <c r="BS68" s="3"/>
      <c r="BT68" s="6"/>
      <c r="BU68" s="3"/>
      <c r="BV68" s="6"/>
      <c r="BW68" s="3"/>
      <c r="BX68" s="6"/>
      <c r="BY68" s="3"/>
      <c r="BZ68" s="6"/>
      <c r="CA68" s="3"/>
      <c r="CB68" s="6"/>
      <c r="CC68" s="3"/>
      <c r="CD68" s="6"/>
      <c r="CE68" s="10"/>
      <c r="CF68" s="6"/>
      <c r="CG68" s="10"/>
      <c r="CH68" s="6"/>
      <c r="CI68" s="10"/>
      <c r="CJ68" s="6"/>
      <c r="CK68" s="3"/>
      <c r="CL68" s="6"/>
      <c r="CM68" s="3"/>
      <c r="CN68" s="6"/>
      <c r="CO68" s="3"/>
      <c r="CP68" s="6"/>
      <c r="CQ68" s="3"/>
      <c r="CR68" s="6"/>
      <c r="CS68" s="3"/>
      <c r="CT68" s="6"/>
      <c r="CU68" s="3"/>
      <c r="CV68" s="6"/>
      <c r="CW68" s="3"/>
      <c r="CX68" s="6"/>
      <c r="CY68" s="3"/>
      <c r="CZ68" s="6"/>
      <c r="DA68" s="3"/>
      <c r="DB68" s="6"/>
      <c r="DC68" s="3"/>
      <c r="DD68" s="6"/>
      <c r="DE68" s="3"/>
      <c r="DF68" s="6"/>
      <c r="DG68" s="3"/>
      <c r="DH68" s="6"/>
      <c r="DI68" s="3"/>
    </row>
    <row r="69" spans="1:113" x14ac:dyDescent="0.2">
      <c r="A69" s="6"/>
      <c r="B69" s="6"/>
      <c r="C69" s="3"/>
      <c r="D69" s="6"/>
      <c r="E69" s="3"/>
      <c r="F69" s="6"/>
      <c r="G69" s="3"/>
      <c r="H69" s="6"/>
      <c r="I69" s="3"/>
      <c r="J69" s="6"/>
      <c r="K69" s="3"/>
      <c r="L69" s="6"/>
      <c r="M69" s="3"/>
      <c r="N69" s="6"/>
      <c r="O69" s="3"/>
      <c r="P69" s="6"/>
      <c r="Q69" s="3"/>
      <c r="R69" s="6"/>
      <c r="S69" s="3"/>
      <c r="T69" s="6"/>
      <c r="U69" s="3"/>
      <c r="V69" s="6"/>
      <c r="W69" s="3"/>
      <c r="X69" s="6"/>
      <c r="Y69" s="3"/>
      <c r="Z69" s="6"/>
      <c r="AA69" s="3"/>
      <c r="AB69" s="6"/>
      <c r="AC69" s="3"/>
      <c r="AD69" s="6"/>
      <c r="AE69" s="3"/>
      <c r="AF69" s="6"/>
      <c r="AG69" s="3"/>
      <c r="AH69" s="6"/>
      <c r="AI69" s="3"/>
      <c r="AJ69" s="6"/>
      <c r="AK69" s="3"/>
      <c r="AL69" s="6"/>
      <c r="AM69" s="3"/>
      <c r="AN69" s="6"/>
      <c r="AO69" s="3"/>
      <c r="AP69" s="6"/>
      <c r="AQ69" s="3"/>
      <c r="AR69" s="6"/>
      <c r="AS69" s="3"/>
      <c r="AT69" s="6"/>
      <c r="AU69" s="3"/>
      <c r="AV69" s="6"/>
      <c r="AW69" s="3"/>
      <c r="AX69" s="6"/>
      <c r="AY69" s="3"/>
      <c r="AZ69" s="6"/>
      <c r="BA69" s="3"/>
      <c r="BB69" s="6"/>
      <c r="BC69" s="3"/>
      <c r="BD69" s="6"/>
      <c r="BE69" s="3"/>
      <c r="BF69" s="6"/>
      <c r="BG69" s="3"/>
      <c r="BH69" s="6"/>
      <c r="BI69" s="3"/>
      <c r="BJ69" s="6"/>
      <c r="BK69" s="3"/>
      <c r="BL69" s="6"/>
      <c r="BM69" s="3"/>
      <c r="BN69" s="6"/>
      <c r="BO69" s="3"/>
      <c r="BP69" s="6"/>
      <c r="BQ69" s="3"/>
      <c r="BR69" s="6"/>
      <c r="BS69" s="3"/>
      <c r="BT69" s="6"/>
      <c r="BU69" s="3"/>
      <c r="BV69" s="6"/>
      <c r="BW69" s="3"/>
      <c r="BX69" s="6"/>
      <c r="BY69" s="3"/>
      <c r="BZ69" s="6"/>
      <c r="CA69" s="3"/>
      <c r="CB69" s="6"/>
      <c r="CC69" s="3"/>
      <c r="CD69" s="6"/>
      <c r="CE69" s="3"/>
      <c r="CF69" s="6"/>
      <c r="CG69" s="3"/>
      <c r="CH69" s="6"/>
      <c r="CI69" s="3"/>
      <c r="CJ69" s="6"/>
      <c r="CK69" s="3"/>
      <c r="CL69" s="6"/>
      <c r="CM69" s="3"/>
      <c r="CN69" s="6"/>
      <c r="CO69" s="3"/>
      <c r="CP69" s="6"/>
      <c r="CQ69" s="3"/>
      <c r="CR69" s="6"/>
      <c r="CS69" s="3"/>
      <c r="CT69" s="6"/>
      <c r="CU69" s="3"/>
      <c r="CV69" s="6"/>
      <c r="CW69" s="3"/>
      <c r="CX69" s="6"/>
      <c r="CY69" s="3"/>
      <c r="CZ69" s="6"/>
      <c r="DA69" s="3"/>
      <c r="DB69" s="6"/>
      <c r="DC69" s="3"/>
      <c r="DD69" s="6"/>
      <c r="DE69" s="3"/>
      <c r="DF69" s="6"/>
      <c r="DG69" s="3"/>
      <c r="DH69" s="6"/>
      <c r="DI69" s="3"/>
    </row>
    <row r="70" spans="1:113" x14ac:dyDescent="0.2">
      <c r="A70" s="6"/>
      <c r="B70" s="6"/>
      <c r="C70" s="3"/>
      <c r="D70" s="6"/>
      <c r="E70" s="3"/>
      <c r="F70" s="6"/>
      <c r="G70" s="3"/>
      <c r="H70" s="6"/>
      <c r="I70" s="3"/>
      <c r="J70" s="6"/>
      <c r="K70" s="3"/>
      <c r="L70" s="6"/>
      <c r="M70" s="3"/>
      <c r="N70" s="6"/>
      <c r="O70" s="3"/>
      <c r="P70" s="6"/>
      <c r="Q70" s="3"/>
      <c r="R70" s="6"/>
      <c r="S70" s="3"/>
      <c r="T70" s="6"/>
      <c r="U70" s="3"/>
      <c r="V70" s="6"/>
      <c r="W70" s="3"/>
      <c r="X70" s="6"/>
      <c r="Y70" s="3"/>
      <c r="Z70" s="6"/>
      <c r="AA70" s="3"/>
      <c r="AB70" s="6"/>
      <c r="AC70" s="3"/>
      <c r="AD70" s="6"/>
      <c r="AE70" s="3"/>
      <c r="AF70" s="6"/>
      <c r="AG70" s="3"/>
      <c r="AH70" s="6"/>
      <c r="AI70" s="3"/>
      <c r="AJ70" s="6"/>
      <c r="AK70" s="3"/>
      <c r="AL70" s="6"/>
      <c r="AM70" s="3"/>
      <c r="AN70" s="6"/>
      <c r="AO70" s="3"/>
      <c r="AP70" s="6"/>
      <c r="AQ70" s="3"/>
      <c r="AR70" s="6"/>
      <c r="AS70" s="3"/>
      <c r="AT70" s="6"/>
      <c r="AU70" s="3"/>
      <c r="AV70" s="6"/>
      <c r="AW70" s="3"/>
      <c r="AX70" s="6"/>
      <c r="AY70" s="3"/>
      <c r="AZ70" s="6"/>
      <c r="BA70" s="3"/>
      <c r="BB70" s="6"/>
      <c r="BC70" s="3"/>
      <c r="BD70" s="6"/>
      <c r="BE70" s="3"/>
      <c r="BF70" s="6"/>
      <c r="BG70" s="3"/>
      <c r="BH70" s="6"/>
      <c r="BI70" s="3"/>
      <c r="BJ70" s="6"/>
      <c r="BK70" s="3"/>
      <c r="BL70" s="6"/>
      <c r="BM70" s="3"/>
      <c r="BN70" s="6"/>
      <c r="BO70" s="3"/>
      <c r="BP70" s="6"/>
      <c r="BQ70" s="3"/>
      <c r="BR70" s="6"/>
      <c r="BS70" s="3"/>
      <c r="BT70" s="6"/>
      <c r="BU70" s="3"/>
      <c r="BV70" s="6"/>
      <c r="BW70" s="3"/>
      <c r="BX70" s="6"/>
      <c r="BY70" s="3"/>
      <c r="BZ70" s="6"/>
      <c r="CA70" s="3"/>
      <c r="CB70" s="6"/>
      <c r="CC70" s="3"/>
      <c r="CD70" s="6"/>
      <c r="CE70" s="3"/>
      <c r="CF70" s="6"/>
      <c r="CG70" s="3"/>
      <c r="CH70" s="6"/>
      <c r="CI70" s="3"/>
      <c r="CJ70" s="6"/>
      <c r="CK70" s="3"/>
      <c r="CL70" s="6"/>
      <c r="CM70" s="3"/>
      <c r="CN70" s="6"/>
      <c r="CO70" s="3"/>
      <c r="CP70" s="6"/>
      <c r="CQ70" s="3"/>
      <c r="CR70" s="6"/>
      <c r="CS70" s="3"/>
      <c r="CT70" s="6"/>
      <c r="CU70" s="3"/>
      <c r="CV70" s="6"/>
      <c r="CW70" s="3"/>
      <c r="CX70" s="6"/>
      <c r="CY70" s="3"/>
      <c r="CZ70" s="6"/>
      <c r="DA70" s="3"/>
      <c r="DB70" s="6"/>
      <c r="DC70" s="3"/>
      <c r="DD70" s="6"/>
      <c r="DE70" s="3"/>
      <c r="DF70" s="6"/>
      <c r="DG70" s="3"/>
      <c r="DH70" s="6"/>
      <c r="DI70" s="3"/>
    </row>
    <row r="71" spans="1:113" x14ac:dyDescent="0.2">
      <c r="A71" s="6"/>
      <c r="B71" s="6"/>
    </row>
    <row r="72" spans="1:113" x14ac:dyDescent="0.2">
      <c r="A72" s="6"/>
      <c r="B72" s="6"/>
    </row>
    <row r="73" spans="1:113" x14ac:dyDescent="0.2">
      <c r="B73" s="6"/>
    </row>
    <row r="76" spans="1:113" x14ac:dyDescent="0.2">
      <c r="G76" s="6"/>
      <c r="K76" s="6"/>
    </row>
    <row r="77" spans="1:113" x14ac:dyDescent="0.2">
      <c r="G77" s="3"/>
      <c r="K77" s="3"/>
    </row>
    <row r="78" spans="1:113" x14ac:dyDescent="0.2">
      <c r="G78" s="3"/>
      <c r="K78" s="3"/>
    </row>
    <row r="84" spans="10:10" x14ac:dyDescent="0.2">
      <c r="J84" s="3"/>
    </row>
    <row r="85" spans="10:10" x14ac:dyDescent="0.2">
      <c r="J85" s="3"/>
    </row>
  </sheetData>
  <mergeCells count="6">
    <mergeCell ref="CL1:DG1"/>
    <mergeCell ref="DH1:DI1"/>
    <mergeCell ref="B1:AE1"/>
    <mergeCell ref="AF1:BC1"/>
    <mergeCell ref="BD1:CA1"/>
    <mergeCell ref="CB1:C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Newbould, Scott</dc:creator>
  <cp:lastModifiedBy>Degenfellner Juergen</cp:lastModifiedBy>
  <dcterms:created xsi:type="dcterms:W3CDTF">2024-05-21T12:19:01Z</dcterms:created>
  <dcterms:modified xsi:type="dcterms:W3CDTF">2025-05-19T05:44:50Z</dcterms:modified>
</cp:coreProperties>
</file>