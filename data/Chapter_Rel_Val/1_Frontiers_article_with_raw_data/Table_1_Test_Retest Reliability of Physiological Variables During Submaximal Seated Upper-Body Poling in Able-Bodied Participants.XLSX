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/>
  <mc:AlternateContent xmlns:mc="http://schemas.openxmlformats.org/markup-compatibility/2006">
    <mc:Choice Requires="x15">
      <x15ac:absPath xmlns:x15ac="http://schemas.microsoft.com/office/spreadsheetml/2010/11/ac" url="/Users/juergen/Library/Mobile Documents/com~apple~CloudDocs/1_ZHAW/1_Quantitative_Methoden_3/Script_QM3_ZHAW/data/Chapter_Rel_Val/"/>
    </mc:Choice>
  </mc:AlternateContent>
  <xr:revisionPtr revIDLastSave="0" documentId="13_ncr:1_{D71A98DA-1E61-3E4A-A206-6C07FEA6F47B}" xr6:coauthVersionLast="47" xr6:coauthVersionMax="47" xr10:uidLastSave="{00000000-0000-0000-0000-000000000000}"/>
  <bookViews>
    <workbookView xWindow="0" yWindow="500" windowWidth="51200" windowHeight="19540" xr2:uid="{00000000-000D-0000-FFFF-FFFF00000000}"/>
  </bookViews>
  <sheets>
    <sheet name="Data_long" sheetId="2" r:id="rId1"/>
    <sheet name="Participant characteristics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5" i="7" l="1"/>
  <c r="D15" i="7"/>
  <c r="C16" i="7"/>
  <c r="D16" i="7"/>
  <c r="B16" i="7"/>
  <c r="B15" i="7"/>
</calcChain>
</file>

<file path=xl/sharedStrings.xml><?xml version="1.0" encoding="utf-8"?>
<sst xmlns="http://schemas.openxmlformats.org/spreadsheetml/2006/main" count="37" uniqueCount="16">
  <si>
    <t>HR</t>
  </si>
  <si>
    <t>Participant</t>
  </si>
  <si>
    <t>RPE</t>
  </si>
  <si>
    <t>VCO2</t>
  </si>
  <si>
    <t>VE</t>
  </si>
  <si>
    <t>TestDay</t>
  </si>
  <si>
    <t>Stage</t>
  </si>
  <si>
    <t>AbsVO2</t>
  </si>
  <si>
    <t>BLa</t>
  </si>
  <si>
    <t xml:space="preserve"> </t>
  </si>
  <si>
    <t>Body mass (kg)</t>
  </si>
  <si>
    <t>Body height (cm)</t>
  </si>
  <si>
    <t>Age (years)</t>
  </si>
  <si>
    <t>Mean</t>
  </si>
  <si>
    <t>SD</t>
  </si>
  <si>
    <t>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</si>
</sst>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0" fontId="1" fillId="0" borderId="0" xfId="0" applyFont="1"/>
    <xf numFmtId="0" fontId="1" fillId="0" borderId="0" xfId="0" applyFont="1" applyAlignment="1">
      <alignment horizontal="right"/>
    </xf>
    <xf numFmtId="2" fontId="1" fillId="0" borderId="0" xfId="0" applyNumberFormat="1" applyFont="1" applyAlignment="1">
      <alignment horizontal="right"/>
    </xf>
    <xf numFmtId="0" fontId="0" fillId="2" borderId="0" xfId="0" applyFill="1"/>
    <xf numFmtId="1" fontId="0" fillId="2" borderId="0" xfId="0" applyNumberFormat="1" applyFill="1"/>
    <xf numFmtId="164" fontId="0" fillId="2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E4F00-F912-48F0-BF3F-53947063FEE5}">
  <dimension ref="A1:P193"/>
  <sheetViews>
    <sheetView tabSelected="1" topLeftCell="A76" zoomScale="200" zoomScaleNormal="55" workbookViewId="0">
      <selection activeCell="C8" sqref="C8"/>
    </sheetView>
  </sheetViews>
  <sheetFormatPr baseColWidth="10" defaultColWidth="9.1640625" defaultRowHeight="15" x14ac:dyDescent="0.2"/>
  <sheetData>
    <row r="1" spans="1:16" x14ac:dyDescent="0.2">
      <c r="A1" t="s">
        <v>1</v>
      </c>
      <c r="B1" t="s">
        <v>5</v>
      </c>
      <c r="C1" t="s">
        <v>2</v>
      </c>
      <c r="D1" t="s">
        <v>6</v>
      </c>
      <c r="E1" t="s">
        <v>7</v>
      </c>
      <c r="F1" t="s">
        <v>3</v>
      </c>
      <c r="G1" t="s">
        <v>4</v>
      </c>
      <c r="H1" t="s">
        <v>0</v>
      </c>
      <c r="I1" t="s">
        <v>8</v>
      </c>
    </row>
    <row r="2" spans="1:16" x14ac:dyDescent="0.2">
      <c r="A2" s="10">
        <v>1</v>
      </c>
      <c r="B2" s="10">
        <v>1</v>
      </c>
      <c r="C2">
        <v>9</v>
      </c>
      <c r="D2">
        <v>1</v>
      </c>
      <c r="E2">
        <v>1.16766666666667</v>
      </c>
      <c r="F2">
        <v>1.03633333333333</v>
      </c>
      <c r="G2" s="2">
        <v>38.1666666666667</v>
      </c>
      <c r="H2" s="3">
        <v>81.783333333333303</v>
      </c>
      <c r="I2" s="1">
        <v>1.57</v>
      </c>
    </row>
    <row r="3" spans="1:16" x14ac:dyDescent="0.2">
      <c r="A3" s="10">
        <v>2</v>
      </c>
      <c r="B3" s="10">
        <v>1</v>
      </c>
      <c r="C3">
        <v>9</v>
      </c>
      <c r="D3">
        <v>1</v>
      </c>
      <c r="E3">
        <v>1.55216666666667</v>
      </c>
      <c r="F3">
        <v>1.4986666666666699</v>
      </c>
      <c r="G3" s="2">
        <v>45.5</v>
      </c>
      <c r="H3" s="3">
        <v>111.283333333333</v>
      </c>
      <c r="I3" s="1">
        <v>2.63</v>
      </c>
    </row>
    <row r="4" spans="1:16" x14ac:dyDescent="0.2">
      <c r="A4" s="10">
        <v>3</v>
      </c>
      <c r="B4" s="10">
        <v>1</v>
      </c>
      <c r="C4">
        <v>9</v>
      </c>
      <c r="D4">
        <v>1</v>
      </c>
      <c r="E4">
        <v>1.1543333333333301</v>
      </c>
      <c r="F4">
        <v>1.0015000000000001</v>
      </c>
      <c r="G4" s="2">
        <v>31.6666666666667</v>
      </c>
      <c r="H4" s="3" t="s">
        <v>15</v>
      </c>
      <c r="I4" s="1">
        <v>1.7</v>
      </c>
    </row>
    <row r="5" spans="1:16" x14ac:dyDescent="0.2">
      <c r="A5" s="10">
        <v>4</v>
      </c>
      <c r="B5" s="10">
        <v>1</v>
      </c>
      <c r="C5">
        <v>9</v>
      </c>
      <c r="D5">
        <v>1</v>
      </c>
      <c r="E5">
        <v>0.96666666666666701</v>
      </c>
      <c r="F5">
        <v>0.78600000000000003</v>
      </c>
      <c r="G5" s="2">
        <v>23.6666666666667</v>
      </c>
      <c r="H5" s="3">
        <v>87.9</v>
      </c>
      <c r="I5" s="1">
        <v>2.0499999999999998</v>
      </c>
    </row>
    <row r="6" spans="1:16" x14ac:dyDescent="0.2">
      <c r="A6" s="10">
        <v>5</v>
      </c>
      <c r="B6" s="10">
        <v>1</v>
      </c>
      <c r="C6">
        <v>9</v>
      </c>
      <c r="D6">
        <v>1</v>
      </c>
      <c r="E6">
        <v>2.0798333333333296</v>
      </c>
      <c r="F6">
        <v>1.9811666666666699</v>
      </c>
      <c r="G6" s="2">
        <v>70.3333333333333</v>
      </c>
      <c r="H6" s="3" t="s">
        <v>15</v>
      </c>
      <c r="I6" s="1">
        <v>2.38</v>
      </c>
    </row>
    <row r="7" spans="1:16" x14ac:dyDescent="0.2">
      <c r="A7" s="10">
        <v>6</v>
      </c>
      <c r="B7" s="10">
        <v>1</v>
      </c>
      <c r="C7">
        <v>9</v>
      </c>
      <c r="D7">
        <v>1</v>
      </c>
      <c r="E7">
        <v>1.627</v>
      </c>
      <c r="F7">
        <v>1.3445</v>
      </c>
      <c r="G7" s="2">
        <v>47.1666666666667</v>
      </c>
      <c r="H7" s="3">
        <v>101.1</v>
      </c>
      <c r="I7" s="1">
        <v>2.38</v>
      </c>
    </row>
    <row r="8" spans="1:16" x14ac:dyDescent="0.2">
      <c r="A8" s="10">
        <v>7</v>
      </c>
      <c r="B8" s="10">
        <v>1</v>
      </c>
      <c r="C8">
        <v>9</v>
      </c>
      <c r="D8">
        <v>1</v>
      </c>
      <c r="E8">
        <v>1.1145</v>
      </c>
      <c r="F8">
        <v>0.96250000000000002</v>
      </c>
      <c r="G8" s="2">
        <v>34.1666666666667</v>
      </c>
      <c r="H8" s="3">
        <v>83</v>
      </c>
      <c r="I8" s="1">
        <v>2.19</v>
      </c>
      <c r="P8" t="s">
        <v>9</v>
      </c>
    </row>
    <row r="9" spans="1:16" x14ac:dyDescent="0.2">
      <c r="A9" s="10">
        <v>8</v>
      </c>
      <c r="B9" s="10">
        <v>1</v>
      </c>
      <c r="C9">
        <v>9</v>
      </c>
      <c r="D9">
        <v>1</v>
      </c>
      <c r="E9">
        <v>1.4308333333333301</v>
      </c>
      <c r="F9">
        <v>1.3581666666666699</v>
      </c>
      <c r="G9" s="2">
        <v>44.8333333333333</v>
      </c>
      <c r="H9" s="3">
        <v>105.716666666667</v>
      </c>
      <c r="I9" s="1">
        <v>3.21</v>
      </c>
    </row>
    <row r="10" spans="1:16" x14ac:dyDescent="0.2">
      <c r="A10" s="10">
        <v>9</v>
      </c>
      <c r="B10" s="10">
        <v>1</v>
      </c>
      <c r="C10">
        <v>9</v>
      </c>
      <c r="D10">
        <v>1</v>
      </c>
      <c r="E10">
        <v>0.98966666666666692</v>
      </c>
      <c r="F10">
        <v>0.79066666666666696</v>
      </c>
      <c r="G10" s="2">
        <v>22.3333333333333</v>
      </c>
      <c r="H10" s="3">
        <v>86.95</v>
      </c>
      <c r="I10" s="1">
        <v>1.21</v>
      </c>
    </row>
    <row r="11" spans="1:16" x14ac:dyDescent="0.2">
      <c r="A11" s="10">
        <v>10</v>
      </c>
      <c r="B11" s="10">
        <v>1</v>
      </c>
      <c r="C11">
        <v>9</v>
      </c>
      <c r="D11">
        <v>1</v>
      </c>
      <c r="E11">
        <v>1.5714999999999999</v>
      </c>
      <c r="F11">
        <v>1.38716666666667</v>
      </c>
      <c r="G11" s="2">
        <v>47.8333333333333</v>
      </c>
      <c r="H11" s="3" t="s">
        <v>15</v>
      </c>
      <c r="I11" s="1">
        <v>2.86</v>
      </c>
    </row>
    <row r="12" spans="1:16" x14ac:dyDescent="0.2">
      <c r="A12" s="10">
        <v>11</v>
      </c>
      <c r="B12" s="10">
        <v>1</v>
      </c>
      <c r="C12">
        <v>9</v>
      </c>
      <c r="D12">
        <v>1</v>
      </c>
      <c r="E12">
        <v>1.0345</v>
      </c>
      <c r="F12">
        <v>0.91</v>
      </c>
      <c r="G12" s="2">
        <v>32.8333333333333</v>
      </c>
      <c r="H12" s="3" t="s">
        <v>15</v>
      </c>
      <c r="I12" s="1">
        <v>3</v>
      </c>
    </row>
    <row r="13" spans="1:16" x14ac:dyDescent="0.2">
      <c r="A13" s="10">
        <v>12</v>
      </c>
      <c r="B13" s="10">
        <v>1</v>
      </c>
      <c r="C13">
        <v>9</v>
      </c>
      <c r="D13">
        <v>1</v>
      </c>
      <c r="E13">
        <v>0.72050000000000003</v>
      </c>
      <c r="F13">
        <v>0.66649999999999998</v>
      </c>
      <c r="G13" s="2">
        <v>29.1666666666667</v>
      </c>
      <c r="H13" s="3">
        <v>89.316666666666706</v>
      </c>
      <c r="I13" s="1">
        <v>1.69</v>
      </c>
    </row>
    <row r="14" spans="1:16" x14ac:dyDescent="0.2">
      <c r="A14">
        <v>1</v>
      </c>
      <c r="B14">
        <v>1</v>
      </c>
      <c r="C14">
        <v>11</v>
      </c>
      <c r="D14">
        <v>2</v>
      </c>
      <c r="E14">
        <v>1.46733333333333</v>
      </c>
      <c r="F14">
        <v>1.3633333333333302</v>
      </c>
      <c r="G14" s="2">
        <v>43.1666666666667</v>
      </c>
      <c r="H14" s="3">
        <v>89.6666666666667</v>
      </c>
      <c r="I14" s="1">
        <v>1.8</v>
      </c>
      <c r="J14" s="1"/>
    </row>
    <row r="15" spans="1:16" x14ac:dyDescent="0.2">
      <c r="A15">
        <v>2</v>
      </c>
      <c r="B15">
        <v>1</v>
      </c>
      <c r="C15">
        <v>11</v>
      </c>
      <c r="D15">
        <v>2</v>
      </c>
      <c r="E15">
        <v>1.68783333333333</v>
      </c>
      <c r="F15">
        <v>1.6385000000000001</v>
      </c>
      <c r="G15" s="2">
        <v>48</v>
      </c>
      <c r="H15" s="3">
        <v>117.98333333333299</v>
      </c>
      <c r="I15" s="1">
        <v>2.73</v>
      </c>
    </row>
    <row r="16" spans="1:16" x14ac:dyDescent="0.2">
      <c r="A16">
        <v>3</v>
      </c>
      <c r="B16">
        <v>1</v>
      </c>
      <c r="C16">
        <v>11</v>
      </c>
      <c r="D16">
        <v>2</v>
      </c>
      <c r="E16">
        <v>1.2046666666666699</v>
      </c>
      <c r="F16">
        <v>1.10716666666667</v>
      </c>
      <c r="G16" s="2">
        <v>32.5</v>
      </c>
      <c r="H16" s="3">
        <v>115</v>
      </c>
      <c r="I16" s="1">
        <v>1.41</v>
      </c>
    </row>
    <row r="17" spans="1:16" x14ac:dyDescent="0.2">
      <c r="A17">
        <v>4</v>
      </c>
      <c r="B17">
        <v>1</v>
      </c>
      <c r="C17">
        <v>11</v>
      </c>
      <c r="D17">
        <v>2</v>
      </c>
      <c r="E17">
        <v>1.44933333333333</v>
      </c>
      <c r="F17">
        <v>1.2736666666666698</v>
      </c>
      <c r="G17" s="2">
        <v>37</v>
      </c>
      <c r="H17" s="3">
        <v>98.233333333333306</v>
      </c>
      <c r="I17" s="1">
        <v>2.0699999999999998</v>
      </c>
    </row>
    <row r="18" spans="1:16" x14ac:dyDescent="0.2">
      <c r="A18">
        <v>5</v>
      </c>
      <c r="B18">
        <v>1</v>
      </c>
      <c r="C18">
        <v>11</v>
      </c>
      <c r="D18">
        <v>2</v>
      </c>
      <c r="E18">
        <v>2.4929999999999999</v>
      </c>
      <c r="F18">
        <v>2.59316666666667</v>
      </c>
      <c r="G18" s="2">
        <v>98.8333333333333</v>
      </c>
      <c r="H18" s="3">
        <v>154</v>
      </c>
      <c r="I18" s="1">
        <v>3.11</v>
      </c>
    </row>
    <row r="19" spans="1:16" x14ac:dyDescent="0.2">
      <c r="A19">
        <v>6</v>
      </c>
      <c r="B19">
        <v>1</v>
      </c>
      <c r="C19">
        <v>11</v>
      </c>
      <c r="D19">
        <v>2</v>
      </c>
      <c r="E19">
        <v>1.885</v>
      </c>
      <c r="F19">
        <v>1.63883333333333</v>
      </c>
      <c r="G19" s="2">
        <v>54.5</v>
      </c>
      <c r="H19" s="3">
        <v>110.383333333333</v>
      </c>
      <c r="I19" s="1">
        <v>3.11</v>
      </c>
      <c r="M19" t="s">
        <v>9</v>
      </c>
    </row>
    <row r="20" spans="1:16" x14ac:dyDescent="0.2">
      <c r="A20">
        <v>7</v>
      </c>
      <c r="B20">
        <v>1</v>
      </c>
      <c r="C20">
        <v>11</v>
      </c>
      <c r="D20">
        <v>2</v>
      </c>
      <c r="E20">
        <v>1.149</v>
      </c>
      <c r="F20">
        <v>1.0485</v>
      </c>
      <c r="G20" s="2">
        <v>38</v>
      </c>
      <c r="H20" s="3">
        <v>87.35</v>
      </c>
      <c r="I20" s="1">
        <v>2.21</v>
      </c>
    </row>
    <row r="21" spans="1:16" x14ac:dyDescent="0.2">
      <c r="A21">
        <v>8</v>
      </c>
      <c r="B21">
        <v>1</v>
      </c>
      <c r="C21">
        <v>11</v>
      </c>
      <c r="D21">
        <v>2</v>
      </c>
      <c r="E21">
        <v>1.6846666666666699</v>
      </c>
      <c r="F21">
        <v>1.6601666666666699</v>
      </c>
      <c r="G21" s="2">
        <v>56.8333333333333</v>
      </c>
      <c r="H21" s="3">
        <v>127.75</v>
      </c>
      <c r="I21" s="1">
        <v>4.9000000000000004</v>
      </c>
    </row>
    <row r="22" spans="1:16" x14ac:dyDescent="0.2">
      <c r="A22">
        <v>9</v>
      </c>
      <c r="B22">
        <v>1</v>
      </c>
      <c r="C22">
        <v>11</v>
      </c>
      <c r="D22">
        <v>2</v>
      </c>
      <c r="E22">
        <v>1.0818333333333301</v>
      </c>
      <c r="F22">
        <v>0.92816666666666692</v>
      </c>
      <c r="G22" s="2">
        <v>28.1666666666667</v>
      </c>
      <c r="H22" s="3">
        <v>89.216666666666697</v>
      </c>
      <c r="I22" s="1">
        <v>1.41</v>
      </c>
    </row>
    <row r="23" spans="1:16" x14ac:dyDescent="0.2">
      <c r="A23">
        <v>10</v>
      </c>
      <c r="B23">
        <v>1</v>
      </c>
      <c r="C23">
        <v>11</v>
      </c>
      <c r="D23">
        <v>2</v>
      </c>
      <c r="E23">
        <v>1.6483333333333301</v>
      </c>
      <c r="F23">
        <v>1.5556666666666699</v>
      </c>
      <c r="G23" s="2">
        <v>54</v>
      </c>
      <c r="H23" s="3" t="s">
        <v>15</v>
      </c>
      <c r="I23" s="1">
        <v>1.61</v>
      </c>
    </row>
    <row r="24" spans="1:16" x14ac:dyDescent="0.2">
      <c r="A24">
        <v>11</v>
      </c>
      <c r="B24">
        <v>1</v>
      </c>
      <c r="C24">
        <v>11</v>
      </c>
      <c r="D24">
        <v>2</v>
      </c>
      <c r="E24">
        <v>1.23416666666667</v>
      </c>
      <c r="F24">
        <v>1.11266666666667</v>
      </c>
      <c r="G24" s="2">
        <v>38.1666666666667</v>
      </c>
      <c r="H24" s="3">
        <v>104</v>
      </c>
      <c r="I24" s="1">
        <v>3.45</v>
      </c>
      <c r="P24" t="s">
        <v>9</v>
      </c>
    </row>
    <row r="25" spans="1:16" x14ac:dyDescent="0.2">
      <c r="A25">
        <v>12</v>
      </c>
      <c r="B25">
        <v>1</v>
      </c>
      <c r="C25">
        <v>11</v>
      </c>
      <c r="D25">
        <v>2</v>
      </c>
      <c r="E25">
        <v>0.89583333333333304</v>
      </c>
      <c r="F25">
        <v>0.84499999999999997</v>
      </c>
      <c r="G25" s="2">
        <v>35</v>
      </c>
      <c r="H25" s="3">
        <v>99.133333333333297</v>
      </c>
      <c r="I25" s="1">
        <v>1.53</v>
      </c>
    </row>
    <row r="26" spans="1:16" x14ac:dyDescent="0.2">
      <c r="A26">
        <v>1</v>
      </c>
      <c r="B26">
        <v>1</v>
      </c>
      <c r="C26">
        <v>13</v>
      </c>
      <c r="D26">
        <v>3</v>
      </c>
      <c r="E26">
        <v>1.7689999999999999</v>
      </c>
      <c r="F26">
        <v>1.7685</v>
      </c>
      <c r="G26" s="2">
        <v>58.5</v>
      </c>
      <c r="H26" s="3">
        <v>98.75</v>
      </c>
      <c r="I26" s="1">
        <v>2.94</v>
      </c>
    </row>
    <row r="27" spans="1:16" x14ac:dyDescent="0.2">
      <c r="A27">
        <v>2</v>
      </c>
      <c r="B27">
        <v>1</v>
      </c>
      <c r="C27">
        <v>13</v>
      </c>
      <c r="D27">
        <v>3</v>
      </c>
      <c r="E27">
        <v>1.998</v>
      </c>
      <c r="F27">
        <v>2.0036666666666698</v>
      </c>
      <c r="G27" s="2">
        <v>63.3333333333333</v>
      </c>
      <c r="H27" s="3">
        <v>125.433333333333</v>
      </c>
      <c r="I27" s="1">
        <v>2.39</v>
      </c>
      <c r="J27" s="1"/>
    </row>
    <row r="28" spans="1:16" x14ac:dyDescent="0.2">
      <c r="A28">
        <v>3</v>
      </c>
      <c r="B28">
        <v>1</v>
      </c>
      <c r="C28">
        <v>13</v>
      </c>
      <c r="D28">
        <v>3</v>
      </c>
      <c r="E28">
        <v>1.5331666666666699</v>
      </c>
      <c r="F28">
        <v>1.3941666666666699</v>
      </c>
      <c r="G28" s="2">
        <v>40.1666666666667</v>
      </c>
      <c r="H28" s="3">
        <v>134</v>
      </c>
      <c r="I28" s="1">
        <v>2.4</v>
      </c>
    </row>
    <row r="29" spans="1:16" x14ac:dyDescent="0.2">
      <c r="A29">
        <v>4</v>
      </c>
      <c r="B29">
        <v>1</v>
      </c>
      <c r="C29">
        <v>13</v>
      </c>
      <c r="D29">
        <v>3</v>
      </c>
      <c r="E29">
        <v>1.65133333333333</v>
      </c>
      <c r="F29">
        <v>1.613</v>
      </c>
      <c r="G29" s="2">
        <v>48.8333333333333</v>
      </c>
      <c r="H29" s="3">
        <v>106.466666666667</v>
      </c>
      <c r="I29" s="1">
        <v>1.72</v>
      </c>
    </row>
    <row r="30" spans="1:16" x14ac:dyDescent="0.2">
      <c r="A30">
        <v>5</v>
      </c>
      <c r="B30">
        <v>1</v>
      </c>
      <c r="C30">
        <v>13</v>
      </c>
      <c r="D30">
        <v>3</v>
      </c>
      <c r="E30">
        <v>2.8285</v>
      </c>
      <c r="F30">
        <v>3.0175000000000001</v>
      </c>
      <c r="G30" s="2">
        <v>127.5</v>
      </c>
      <c r="H30" s="3">
        <v>178</v>
      </c>
      <c r="I30" s="1" t="s">
        <v>15</v>
      </c>
    </row>
    <row r="31" spans="1:16" x14ac:dyDescent="0.2">
      <c r="A31">
        <v>6</v>
      </c>
      <c r="B31">
        <v>1</v>
      </c>
      <c r="C31">
        <v>13</v>
      </c>
      <c r="D31">
        <v>3</v>
      </c>
      <c r="E31">
        <v>2.2968333333333297</v>
      </c>
      <c r="F31">
        <v>2.1221666666666703</v>
      </c>
      <c r="G31" s="2">
        <v>71.8333333333333</v>
      </c>
      <c r="H31" s="3">
        <v>126.75</v>
      </c>
      <c r="I31" s="1">
        <v>4.68</v>
      </c>
    </row>
    <row r="32" spans="1:16" x14ac:dyDescent="0.2">
      <c r="A32">
        <v>7</v>
      </c>
      <c r="B32">
        <v>1</v>
      </c>
      <c r="C32">
        <v>13</v>
      </c>
      <c r="D32">
        <v>3</v>
      </c>
      <c r="E32">
        <v>1.3238333333333301</v>
      </c>
      <c r="F32">
        <v>1.3634999999999999</v>
      </c>
      <c r="G32" s="2">
        <v>53.5</v>
      </c>
      <c r="H32" s="3">
        <v>96.783333333333303</v>
      </c>
      <c r="I32" s="1">
        <v>2.3199999999999998</v>
      </c>
    </row>
    <row r="33" spans="1:9" x14ac:dyDescent="0.2">
      <c r="A33">
        <v>8</v>
      </c>
      <c r="B33">
        <v>1</v>
      </c>
      <c r="C33">
        <v>13</v>
      </c>
      <c r="D33">
        <v>3</v>
      </c>
      <c r="E33">
        <v>2.0821666666666703</v>
      </c>
      <c r="F33">
        <v>2.1133333333333297</v>
      </c>
      <c r="G33" s="2">
        <v>78.6666666666667</v>
      </c>
      <c r="H33" s="3">
        <v>150.15</v>
      </c>
      <c r="I33" s="1">
        <v>5.55</v>
      </c>
    </row>
    <row r="34" spans="1:9" x14ac:dyDescent="0.2">
      <c r="A34">
        <v>9</v>
      </c>
      <c r="B34">
        <v>1</v>
      </c>
      <c r="C34">
        <v>13</v>
      </c>
      <c r="D34">
        <v>3</v>
      </c>
      <c r="E34">
        <v>1.2151666666666698</v>
      </c>
      <c r="F34">
        <v>1.0576666666666699</v>
      </c>
      <c r="G34" s="2">
        <v>34</v>
      </c>
      <c r="H34" s="3">
        <v>99.533333333333303</v>
      </c>
      <c r="I34" s="1">
        <v>1.83</v>
      </c>
    </row>
    <row r="35" spans="1:9" x14ac:dyDescent="0.2">
      <c r="A35">
        <v>10</v>
      </c>
      <c r="B35">
        <v>1</v>
      </c>
      <c r="C35">
        <v>13</v>
      </c>
      <c r="D35">
        <v>3</v>
      </c>
      <c r="E35">
        <v>1.79833333333333</v>
      </c>
      <c r="F35">
        <v>1.7595000000000001</v>
      </c>
      <c r="G35" s="2">
        <v>60.3333333333333</v>
      </c>
      <c r="H35" s="3" t="s">
        <v>15</v>
      </c>
      <c r="I35" s="1">
        <v>5.0599999999999996</v>
      </c>
    </row>
    <row r="36" spans="1:9" x14ac:dyDescent="0.2">
      <c r="A36">
        <v>11</v>
      </c>
      <c r="B36">
        <v>1</v>
      </c>
      <c r="C36">
        <v>13</v>
      </c>
      <c r="D36">
        <v>3</v>
      </c>
      <c r="E36">
        <v>1.3978333333333302</v>
      </c>
      <c r="F36">
        <v>1.3776666666666699</v>
      </c>
      <c r="G36" s="2">
        <v>46.1666666666667</v>
      </c>
      <c r="H36" s="3">
        <v>111</v>
      </c>
      <c r="I36" s="1">
        <v>4.2699999999999996</v>
      </c>
    </row>
    <row r="37" spans="1:9" x14ac:dyDescent="0.2">
      <c r="A37">
        <v>12</v>
      </c>
      <c r="B37">
        <v>1</v>
      </c>
      <c r="C37">
        <v>13</v>
      </c>
      <c r="D37">
        <v>3</v>
      </c>
      <c r="E37">
        <v>1.14333333333333</v>
      </c>
      <c r="F37">
        <v>1.2021666666666699</v>
      </c>
      <c r="G37" s="2">
        <v>45.6666666666667</v>
      </c>
      <c r="H37" s="3">
        <v>125.166666666667</v>
      </c>
      <c r="I37" s="1">
        <v>2.66</v>
      </c>
    </row>
    <row r="38" spans="1:9" x14ac:dyDescent="0.2">
      <c r="A38">
        <v>1</v>
      </c>
      <c r="B38">
        <v>1</v>
      </c>
      <c r="C38">
        <v>15</v>
      </c>
      <c r="D38">
        <v>4</v>
      </c>
      <c r="E38">
        <v>2.1506666666666701</v>
      </c>
      <c r="F38">
        <v>2.3734999999999999</v>
      </c>
      <c r="G38" s="2">
        <v>92.3333333333333</v>
      </c>
      <c r="H38" s="3">
        <v>109.866666666667</v>
      </c>
      <c r="I38" s="1">
        <v>3.96</v>
      </c>
    </row>
    <row r="39" spans="1:9" x14ac:dyDescent="0.2">
      <c r="A39">
        <v>2</v>
      </c>
      <c r="B39">
        <v>1</v>
      </c>
      <c r="C39">
        <v>15</v>
      </c>
      <c r="D39">
        <v>4</v>
      </c>
      <c r="E39">
        <v>2.4698333333333298</v>
      </c>
      <c r="F39">
        <v>2.65716666666667</v>
      </c>
      <c r="G39" s="2">
        <v>85.1666666666667</v>
      </c>
      <c r="H39" s="3">
        <v>144.583333333333</v>
      </c>
      <c r="I39" s="1">
        <v>5.66</v>
      </c>
    </row>
    <row r="40" spans="1:9" x14ac:dyDescent="0.2">
      <c r="A40">
        <v>3</v>
      </c>
      <c r="B40">
        <v>1</v>
      </c>
      <c r="C40">
        <v>15</v>
      </c>
      <c r="D40">
        <v>4</v>
      </c>
      <c r="E40">
        <v>1.8846666666666698</v>
      </c>
      <c r="F40">
        <v>1.77183333333333</v>
      </c>
      <c r="G40" s="2">
        <v>53.6666666666667</v>
      </c>
      <c r="H40" s="3">
        <v>144</v>
      </c>
      <c r="I40" s="1">
        <v>3.34</v>
      </c>
    </row>
    <row r="41" spans="1:9" x14ac:dyDescent="0.2">
      <c r="A41">
        <v>4</v>
      </c>
      <c r="B41">
        <v>1</v>
      </c>
      <c r="C41">
        <v>15</v>
      </c>
      <c r="D41">
        <v>4</v>
      </c>
      <c r="E41">
        <v>1.90316666666667</v>
      </c>
      <c r="F41">
        <v>1.8376666666666699</v>
      </c>
      <c r="G41" s="2">
        <v>61.6666666666667</v>
      </c>
      <c r="H41" s="3">
        <v>116.616666666667</v>
      </c>
      <c r="I41" s="1">
        <v>2.71</v>
      </c>
    </row>
    <row r="42" spans="1:9" x14ac:dyDescent="0.2">
      <c r="A42">
        <v>5</v>
      </c>
      <c r="B42">
        <v>1</v>
      </c>
      <c r="C42">
        <v>15</v>
      </c>
      <c r="D42">
        <v>4</v>
      </c>
      <c r="E42">
        <v>3.0840000000000001</v>
      </c>
      <c r="F42">
        <v>3.2170000000000001</v>
      </c>
      <c r="G42" s="2">
        <v>152</v>
      </c>
      <c r="H42" s="3">
        <v>186</v>
      </c>
      <c r="I42" s="1">
        <v>12.06</v>
      </c>
    </row>
    <row r="43" spans="1:9" x14ac:dyDescent="0.2">
      <c r="A43">
        <v>6</v>
      </c>
      <c r="B43">
        <v>1</v>
      </c>
      <c r="C43">
        <v>15</v>
      </c>
      <c r="D43">
        <v>4</v>
      </c>
      <c r="E43">
        <v>2.99033333333333</v>
      </c>
      <c r="F43">
        <v>3.01183333333333</v>
      </c>
      <c r="G43" s="2">
        <v>110.666666666667</v>
      </c>
      <c r="H43" s="3">
        <v>154.75</v>
      </c>
      <c r="I43" s="1">
        <v>6.87</v>
      </c>
    </row>
    <row r="44" spans="1:9" x14ac:dyDescent="0.2">
      <c r="A44">
        <v>7</v>
      </c>
      <c r="B44">
        <v>1</v>
      </c>
      <c r="C44">
        <v>15</v>
      </c>
      <c r="D44">
        <v>4</v>
      </c>
      <c r="E44">
        <v>1.8801666666666699</v>
      </c>
      <c r="F44">
        <v>1.8413333333333302</v>
      </c>
      <c r="G44" s="2">
        <v>68.6666666666667</v>
      </c>
      <c r="H44" s="3">
        <v>116.933333333333</v>
      </c>
      <c r="I44" s="1">
        <v>4.29</v>
      </c>
    </row>
    <row r="45" spans="1:9" x14ac:dyDescent="0.2">
      <c r="A45">
        <v>8</v>
      </c>
      <c r="B45">
        <v>1</v>
      </c>
      <c r="C45">
        <v>15</v>
      </c>
      <c r="D45">
        <v>4</v>
      </c>
      <c r="E45">
        <v>2.53216666666667</v>
      </c>
      <c r="F45">
        <v>2.7913333333333297</v>
      </c>
      <c r="G45" s="2">
        <v>113.5</v>
      </c>
      <c r="H45" s="3">
        <v>169.75</v>
      </c>
      <c r="I45" s="1">
        <v>8.6300000000000008</v>
      </c>
    </row>
    <row r="46" spans="1:9" x14ac:dyDescent="0.2">
      <c r="A46">
        <v>9</v>
      </c>
      <c r="B46">
        <v>1</v>
      </c>
      <c r="C46">
        <v>15</v>
      </c>
      <c r="D46">
        <v>4</v>
      </c>
      <c r="E46">
        <v>1.65316666666667</v>
      </c>
      <c r="F46">
        <v>1.5878333333333301</v>
      </c>
      <c r="G46" s="2">
        <v>48</v>
      </c>
      <c r="H46" s="3">
        <v>116.05</v>
      </c>
      <c r="I46" s="1">
        <v>3.63</v>
      </c>
    </row>
    <row r="47" spans="1:9" x14ac:dyDescent="0.2">
      <c r="A47">
        <v>10</v>
      </c>
      <c r="B47">
        <v>1</v>
      </c>
      <c r="C47">
        <v>15</v>
      </c>
      <c r="D47">
        <v>4</v>
      </c>
      <c r="E47">
        <v>2.2745000000000002</v>
      </c>
      <c r="F47">
        <v>2.2958333333333298</v>
      </c>
      <c r="G47" s="2">
        <v>79.3333333333333</v>
      </c>
      <c r="H47" s="3" t="s">
        <v>15</v>
      </c>
      <c r="I47" s="1">
        <v>5.55</v>
      </c>
    </row>
    <row r="48" spans="1:9" x14ac:dyDescent="0.2">
      <c r="A48">
        <v>11</v>
      </c>
      <c r="B48">
        <v>1</v>
      </c>
      <c r="C48">
        <v>15</v>
      </c>
      <c r="D48">
        <v>4</v>
      </c>
      <c r="E48">
        <v>1.9724999999999999</v>
      </c>
      <c r="F48">
        <v>2.2096666666666702</v>
      </c>
      <c r="G48" s="2">
        <v>76</v>
      </c>
      <c r="H48" s="3">
        <v>132</v>
      </c>
      <c r="I48" s="1">
        <v>6.33</v>
      </c>
    </row>
    <row r="49" spans="1:9" x14ac:dyDescent="0.2">
      <c r="A49">
        <v>12</v>
      </c>
      <c r="B49">
        <v>1</v>
      </c>
      <c r="C49">
        <v>15</v>
      </c>
      <c r="D49">
        <v>4</v>
      </c>
      <c r="E49">
        <v>1.6541666666666699</v>
      </c>
      <c r="F49">
        <v>1.83866666666667</v>
      </c>
      <c r="G49" s="2">
        <v>68</v>
      </c>
      <c r="H49" s="3">
        <v>142.88333333333301</v>
      </c>
      <c r="I49" s="1">
        <v>6.23</v>
      </c>
    </row>
    <row r="50" spans="1:9" x14ac:dyDescent="0.2">
      <c r="A50">
        <v>1</v>
      </c>
      <c r="B50">
        <v>2</v>
      </c>
      <c r="C50">
        <v>9</v>
      </c>
      <c r="D50">
        <v>1</v>
      </c>
      <c r="E50">
        <v>1.12083333333333</v>
      </c>
      <c r="F50">
        <v>0.97616666666666696</v>
      </c>
      <c r="G50" s="2">
        <v>37.5</v>
      </c>
      <c r="H50" s="3" t="s">
        <v>15</v>
      </c>
      <c r="I50" s="1">
        <v>1.19</v>
      </c>
    </row>
    <row r="51" spans="1:9" x14ac:dyDescent="0.2">
      <c r="A51">
        <v>2</v>
      </c>
      <c r="B51">
        <v>2</v>
      </c>
      <c r="C51">
        <v>9</v>
      </c>
      <c r="D51">
        <v>1</v>
      </c>
      <c r="E51">
        <v>1.357</v>
      </c>
      <c r="F51">
        <v>1.2555000000000001</v>
      </c>
      <c r="G51" s="2">
        <v>38.6666666666667</v>
      </c>
      <c r="H51" s="3">
        <v>103.316666666667</v>
      </c>
      <c r="I51" s="1">
        <v>1.51</v>
      </c>
    </row>
    <row r="52" spans="1:9" x14ac:dyDescent="0.2">
      <c r="A52">
        <v>3</v>
      </c>
      <c r="B52">
        <v>2</v>
      </c>
      <c r="C52">
        <v>9</v>
      </c>
      <c r="D52">
        <v>1</v>
      </c>
      <c r="E52">
        <v>1.17</v>
      </c>
      <c r="F52">
        <v>1.1213333333333302</v>
      </c>
      <c r="G52" s="2">
        <v>34.6666666666667</v>
      </c>
      <c r="H52" s="3">
        <v>109.45</v>
      </c>
      <c r="I52" s="1">
        <v>1.36</v>
      </c>
    </row>
    <row r="53" spans="1:9" x14ac:dyDescent="0.2">
      <c r="A53">
        <v>4</v>
      </c>
      <c r="B53">
        <v>2</v>
      </c>
      <c r="C53">
        <v>9</v>
      </c>
      <c r="D53">
        <v>1</v>
      </c>
      <c r="E53">
        <v>1.03183333333333</v>
      </c>
      <c r="F53">
        <v>0.80466666666666697</v>
      </c>
      <c r="G53" s="2">
        <v>26.6666666666667</v>
      </c>
      <c r="H53" s="3">
        <v>81.3</v>
      </c>
      <c r="I53" s="1">
        <v>1.59</v>
      </c>
    </row>
    <row r="54" spans="1:9" x14ac:dyDescent="0.2">
      <c r="A54">
        <v>5</v>
      </c>
      <c r="B54">
        <v>2</v>
      </c>
      <c r="C54">
        <v>9</v>
      </c>
      <c r="D54">
        <v>1</v>
      </c>
      <c r="E54">
        <v>1.9570000000000001</v>
      </c>
      <c r="F54">
        <v>2.0373333333333301</v>
      </c>
      <c r="G54" s="2">
        <v>70.5</v>
      </c>
      <c r="H54" s="3" t="s">
        <v>15</v>
      </c>
      <c r="I54" s="1">
        <v>3.52</v>
      </c>
    </row>
    <row r="55" spans="1:9" x14ac:dyDescent="0.2">
      <c r="A55">
        <v>6</v>
      </c>
      <c r="B55">
        <v>2</v>
      </c>
      <c r="C55">
        <v>9</v>
      </c>
      <c r="D55">
        <v>1</v>
      </c>
      <c r="E55">
        <v>1.5531666666666699</v>
      </c>
      <c r="F55">
        <v>1.3089999999999999</v>
      </c>
      <c r="G55" s="2">
        <v>46.1666666666667</v>
      </c>
      <c r="H55" s="3">
        <v>97.016666666666694</v>
      </c>
      <c r="I55" s="1">
        <v>2.04</v>
      </c>
    </row>
    <row r="56" spans="1:9" x14ac:dyDescent="0.2">
      <c r="A56">
        <v>7</v>
      </c>
      <c r="B56">
        <v>2</v>
      </c>
      <c r="C56">
        <v>9</v>
      </c>
      <c r="D56">
        <v>1</v>
      </c>
      <c r="E56">
        <v>1.0805</v>
      </c>
      <c r="F56">
        <v>0.91549999999999998</v>
      </c>
      <c r="G56" s="2">
        <v>30.3333333333333</v>
      </c>
      <c r="H56" s="3">
        <v>76.816666666666706</v>
      </c>
      <c r="I56" s="1">
        <v>1.74</v>
      </c>
    </row>
    <row r="57" spans="1:9" x14ac:dyDescent="0.2">
      <c r="A57">
        <v>8</v>
      </c>
      <c r="B57">
        <v>2</v>
      </c>
      <c r="C57">
        <v>9</v>
      </c>
      <c r="D57">
        <v>1</v>
      </c>
      <c r="E57">
        <v>1.42366666666667</v>
      </c>
      <c r="F57">
        <v>1.407</v>
      </c>
      <c r="G57" s="2">
        <v>47</v>
      </c>
      <c r="H57" s="3">
        <v>108.23333333333299</v>
      </c>
      <c r="I57" s="1">
        <v>3.07</v>
      </c>
    </row>
    <row r="58" spans="1:9" x14ac:dyDescent="0.2">
      <c r="A58">
        <v>9</v>
      </c>
      <c r="B58">
        <v>2</v>
      </c>
      <c r="C58">
        <v>9</v>
      </c>
      <c r="D58">
        <v>1</v>
      </c>
      <c r="E58">
        <v>0.97233333333333305</v>
      </c>
      <c r="F58">
        <v>0.84699999999999998</v>
      </c>
      <c r="G58" s="2">
        <v>24.3333333333333</v>
      </c>
      <c r="H58" s="3">
        <v>85.816666666666706</v>
      </c>
      <c r="I58" s="1">
        <v>1.28</v>
      </c>
    </row>
    <row r="59" spans="1:9" x14ac:dyDescent="0.2">
      <c r="A59">
        <v>10</v>
      </c>
      <c r="B59">
        <v>2</v>
      </c>
      <c r="C59">
        <v>9</v>
      </c>
      <c r="D59">
        <v>1</v>
      </c>
      <c r="E59">
        <v>1.452</v>
      </c>
      <c r="F59">
        <v>1.4746666666666699</v>
      </c>
      <c r="G59" s="2">
        <v>54.8333333333333</v>
      </c>
      <c r="H59" s="3">
        <v>112.883333333333</v>
      </c>
      <c r="I59" s="1">
        <v>3.42</v>
      </c>
    </row>
    <row r="60" spans="1:9" x14ac:dyDescent="0.2">
      <c r="A60">
        <v>11</v>
      </c>
      <c r="B60">
        <v>2</v>
      </c>
      <c r="C60">
        <v>9</v>
      </c>
      <c r="D60">
        <v>1</v>
      </c>
      <c r="E60">
        <v>1.1161666666666699</v>
      </c>
      <c r="F60">
        <v>1.1061666666666699</v>
      </c>
      <c r="G60" s="2">
        <v>41</v>
      </c>
      <c r="H60" s="3">
        <v>94.616666666666703</v>
      </c>
      <c r="I60" s="1">
        <v>2.92</v>
      </c>
    </row>
    <row r="61" spans="1:9" x14ac:dyDescent="0.2">
      <c r="A61">
        <v>12</v>
      </c>
      <c r="B61">
        <v>2</v>
      </c>
      <c r="C61">
        <v>9</v>
      </c>
      <c r="D61">
        <v>1</v>
      </c>
      <c r="E61">
        <v>0.832666666666667</v>
      </c>
      <c r="F61">
        <v>0.70299999999999996</v>
      </c>
      <c r="G61" s="2">
        <v>31.8333333333333</v>
      </c>
      <c r="H61" s="3">
        <v>87.716666666666697</v>
      </c>
      <c r="I61" s="1">
        <v>2.56</v>
      </c>
    </row>
    <row r="62" spans="1:9" x14ac:dyDescent="0.2">
      <c r="A62">
        <v>1</v>
      </c>
      <c r="B62">
        <v>2</v>
      </c>
      <c r="C62">
        <v>11</v>
      </c>
      <c r="D62">
        <v>2</v>
      </c>
      <c r="E62">
        <v>1.4066666666666698</v>
      </c>
      <c r="F62">
        <v>1.24166666666667</v>
      </c>
      <c r="G62" s="2">
        <v>46.3333333333333</v>
      </c>
      <c r="H62" s="3">
        <v>88.183333333333294</v>
      </c>
      <c r="I62" s="1">
        <v>1.34</v>
      </c>
    </row>
    <row r="63" spans="1:9" x14ac:dyDescent="0.2">
      <c r="A63">
        <v>2</v>
      </c>
      <c r="B63">
        <v>2</v>
      </c>
      <c r="C63">
        <v>11</v>
      </c>
      <c r="D63">
        <v>2</v>
      </c>
      <c r="E63">
        <v>1.5801666666666698</v>
      </c>
      <c r="F63">
        <v>1.4370000000000001</v>
      </c>
      <c r="G63" s="2">
        <v>42.6666666666667</v>
      </c>
      <c r="H63" s="3">
        <v>108.533333333333</v>
      </c>
      <c r="I63" s="1">
        <v>2.02</v>
      </c>
    </row>
    <row r="64" spans="1:9" x14ac:dyDescent="0.2">
      <c r="A64">
        <v>3</v>
      </c>
      <c r="B64">
        <v>2</v>
      </c>
      <c r="C64">
        <v>11</v>
      </c>
      <c r="D64">
        <v>2</v>
      </c>
      <c r="E64">
        <v>1.22383333333333</v>
      </c>
      <c r="F64">
        <v>1.08866666666667</v>
      </c>
      <c r="G64" s="2">
        <v>32</v>
      </c>
      <c r="H64" s="3">
        <v>113.55</v>
      </c>
      <c r="I64" s="1">
        <v>1.25</v>
      </c>
    </row>
    <row r="65" spans="1:9" x14ac:dyDescent="0.2">
      <c r="A65">
        <v>4</v>
      </c>
      <c r="B65">
        <v>2</v>
      </c>
      <c r="C65">
        <v>11</v>
      </c>
      <c r="D65">
        <v>2</v>
      </c>
      <c r="E65">
        <v>1.4913333333333301</v>
      </c>
      <c r="F65">
        <v>1.2324999999999999</v>
      </c>
      <c r="G65" s="2">
        <v>37.6666666666667</v>
      </c>
      <c r="H65" s="3">
        <v>88.8333333333333</v>
      </c>
      <c r="I65" s="1">
        <v>2.34</v>
      </c>
    </row>
    <row r="66" spans="1:9" x14ac:dyDescent="0.2">
      <c r="A66">
        <v>5</v>
      </c>
      <c r="B66">
        <v>2</v>
      </c>
      <c r="C66">
        <v>11</v>
      </c>
      <c r="D66">
        <v>2</v>
      </c>
      <c r="E66">
        <v>2.29</v>
      </c>
      <c r="F66">
        <v>2.46</v>
      </c>
      <c r="G66" s="2">
        <v>95.6666666666667</v>
      </c>
      <c r="H66" s="3">
        <v>152</v>
      </c>
      <c r="I66" s="1">
        <v>6.71</v>
      </c>
    </row>
    <row r="67" spans="1:9" x14ac:dyDescent="0.2">
      <c r="A67">
        <v>6</v>
      </c>
      <c r="B67">
        <v>2</v>
      </c>
      <c r="C67">
        <v>11</v>
      </c>
      <c r="D67">
        <v>2</v>
      </c>
      <c r="E67">
        <v>1.88933333333333</v>
      </c>
      <c r="F67">
        <v>1.70966666666667</v>
      </c>
      <c r="G67" s="2">
        <v>56.5</v>
      </c>
      <c r="H67" s="3">
        <v>113</v>
      </c>
      <c r="I67" s="1">
        <v>2.81</v>
      </c>
    </row>
    <row r="68" spans="1:9" x14ac:dyDescent="0.2">
      <c r="A68">
        <v>7</v>
      </c>
      <c r="B68">
        <v>2</v>
      </c>
      <c r="C68">
        <v>11</v>
      </c>
      <c r="D68">
        <v>2</v>
      </c>
      <c r="E68">
        <v>1.12116666666667</v>
      </c>
      <c r="F68">
        <v>0.95599999999999996</v>
      </c>
      <c r="G68" s="2">
        <v>31.3333333333333</v>
      </c>
      <c r="H68" s="3">
        <v>79.0833333333333</v>
      </c>
      <c r="I68" s="1">
        <v>1.68</v>
      </c>
    </row>
    <row r="69" spans="1:9" x14ac:dyDescent="0.2">
      <c r="A69">
        <v>8</v>
      </c>
      <c r="B69">
        <v>2</v>
      </c>
      <c r="C69">
        <v>11</v>
      </c>
      <c r="D69">
        <v>2</v>
      </c>
      <c r="E69">
        <v>1.7375</v>
      </c>
      <c r="F69">
        <v>1.8036666666666699</v>
      </c>
      <c r="G69" s="2">
        <v>60.1666666666667</v>
      </c>
      <c r="H69" s="3">
        <v>122.133333333333</v>
      </c>
      <c r="I69" s="1">
        <v>4.21</v>
      </c>
    </row>
    <row r="70" spans="1:9" x14ac:dyDescent="0.2">
      <c r="A70">
        <v>9</v>
      </c>
      <c r="B70">
        <v>2</v>
      </c>
      <c r="C70">
        <v>11</v>
      </c>
      <c r="D70">
        <v>2</v>
      </c>
      <c r="E70">
        <v>1.1518333333333302</v>
      </c>
      <c r="F70">
        <v>1.0408333333333302</v>
      </c>
      <c r="G70" s="2">
        <v>33.3333333333333</v>
      </c>
      <c r="H70" s="3">
        <v>88.433333333333294</v>
      </c>
      <c r="I70" s="1">
        <v>1.84</v>
      </c>
    </row>
    <row r="71" spans="1:9" x14ac:dyDescent="0.2">
      <c r="A71">
        <v>10</v>
      </c>
      <c r="B71">
        <v>2</v>
      </c>
      <c r="C71">
        <v>11</v>
      </c>
      <c r="D71">
        <v>2</v>
      </c>
      <c r="E71">
        <v>1.5275000000000001</v>
      </c>
      <c r="F71">
        <v>1.4430000000000001</v>
      </c>
      <c r="G71" s="2">
        <v>49.6666666666667</v>
      </c>
      <c r="H71" s="3">
        <v>119.783333333333</v>
      </c>
      <c r="I71" s="1">
        <v>4.66</v>
      </c>
    </row>
    <row r="72" spans="1:9" x14ac:dyDescent="0.2">
      <c r="A72">
        <v>11</v>
      </c>
      <c r="B72">
        <v>2</v>
      </c>
      <c r="C72">
        <v>11</v>
      </c>
      <c r="D72">
        <v>2</v>
      </c>
      <c r="E72">
        <v>1.16966666666667</v>
      </c>
      <c r="F72">
        <v>1.08633333333333</v>
      </c>
      <c r="G72" s="2">
        <v>39.8333333333333</v>
      </c>
      <c r="H72" s="3">
        <v>95.25</v>
      </c>
      <c r="I72" s="1">
        <v>3.3</v>
      </c>
    </row>
    <row r="73" spans="1:9" x14ac:dyDescent="0.2">
      <c r="A73">
        <v>12</v>
      </c>
      <c r="B73">
        <v>2</v>
      </c>
      <c r="C73">
        <v>11</v>
      </c>
      <c r="D73">
        <v>2</v>
      </c>
      <c r="E73">
        <v>0.93716666666666693</v>
      </c>
      <c r="F73">
        <v>0.81933333333333302</v>
      </c>
      <c r="G73" s="2">
        <v>36.8333333333333</v>
      </c>
      <c r="H73" s="3">
        <v>90.4</v>
      </c>
      <c r="I73" s="1">
        <v>2.44</v>
      </c>
    </row>
    <row r="74" spans="1:9" x14ac:dyDescent="0.2">
      <c r="A74">
        <v>1</v>
      </c>
      <c r="B74">
        <v>2</v>
      </c>
      <c r="C74">
        <v>13</v>
      </c>
      <c r="D74">
        <v>3</v>
      </c>
      <c r="E74">
        <v>1.78833333333333</v>
      </c>
      <c r="F74">
        <v>1.8839999999999999</v>
      </c>
      <c r="G74" s="2">
        <v>73.6666666666667</v>
      </c>
      <c r="H74" s="3">
        <v>97.633333333333297</v>
      </c>
      <c r="I74" s="1">
        <v>1.84</v>
      </c>
    </row>
    <row r="75" spans="1:9" x14ac:dyDescent="0.2">
      <c r="A75">
        <v>2</v>
      </c>
      <c r="B75">
        <v>2</v>
      </c>
      <c r="C75">
        <v>13</v>
      </c>
      <c r="D75">
        <v>3</v>
      </c>
      <c r="E75">
        <v>1.8236666666666699</v>
      </c>
      <c r="F75">
        <v>1.7431666666666699</v>
      </c>
      <c r="G75" s="2">
        <v>52.8333333333333</v>
      </c>
      <c r="H75" s="3">
        <v>115.716666666667</v>
      </c>
      <c r="I75" s="1">
        <v>3.21</v>
      </c>
    </row>
    <row r="76" spans="1:9" x14ac:dyDescent="0.2">
      <c r="A76">
        <v>3</v>
      </c>
      <c r="B76">
        <v>2</v>
      </c>
      <c r="C76">
        <v>13</v>
      </c>
      <c r="D76">
        <v>3</v>
      </c>
      <c r="E76">
        <v>1.50233333333333</v>
      </c>
      <c r="F76">
        <v>1.40683333333333</v>
      </c>
      <c r="G76" s="2">
        <v>38</v>
      </c>
      <c r="H76" s="3">
        <v>118.716666666667</v>
      </c>
      <c r="I76" s="1">
        <v>1.88</v>
      </c>
    </row>
    <row r="77" spans="1:9" x14ac:dyDescent="0.2">
      <c r="A77">
        <v>4</v>
      </c>
      <c r="B77">
        <v>2</v>
      </c>
      <c r="C77">
        <v>13</v>
      </c>
      <c r="D77">
        <v>3</v>
      </c>
      <c r="E77">
        <v>1.7273333333333301</v>
      </c>
      <c r="F77">
        <v>1.6076666666666699</v>
      </c>
      <c r="G77" s="2">
        <v>50.6666666666667</v>
      </c>
      <c r="H77" s="3">
        <v>99.483333333333306</v>
      </c>
      <c r="I77" s="1">
        <v>2.44</v>
      </c>
    </row>
    <row r="78" spans="1:9" x14ac:dyDescent="0.2">
      <c r="A78">
        <v>5</v>
      </c>
      <c r="B78">
        <v>2</v>
      </c>
      <c r="C78">
        <v>13</v>
      </c>
      <c r="D78">
        <v>3</v>
      </c>
      <c r="E78">
        <v>2.71533333333333</v>
      </c>
      <c r="F78">
        <v>3.05616666666667</v>
      </c>
      <c r="G78" s="2">
        <v>137.166666666667</v>
      </c>
      <c r="H78" s="3">
        <v>177</v>
      </c>
      <c r="I78" s="1">
        <v>8.33</v>
      </c>
    </row>
    <row r="79" spans="1:9" x14ac:dyDescent="0.2">
      <c r="A79">
        <v>6</v>
      </c>
      <c r="B79">
        <v>2</v>
      </c>
      <c r="C79">
        <v>13</v>
      </c>
      <c r="D79">
        <v>3</v>
      </c>
      <c r="E79">
        <v>2.3861666666666701</v>
      </c>
      <c r="F79">
        <v>2.3220000000000001</v>
      </c>
      <c r="G79" s="2">
        <v>74.1666666666667</v>
      </c>
      <c r="H79" s="3">
        <v>129.666666666667</v>
      </c>
      <c r="I79" s="1">
        <v>4</v>
      </c>
    </row>
    <row r="80" spans="1:9" x14ac:dyDescent="0.2">
      <c r="A80">
        <v>7</v>
      </c>
      <c r="B80">
        <v>2</v>
      </c>
      <c r="C80">
        <v>13</v>
      </c>
      <c r="D80">
        <v>3</v>
      </c>
      <c r="E80">
        <v>1.2965</v>
      </c>
      <c r="F80">
        <v>1.2929999999999999</v>
      </c>
      <c r="G80" s="2">
        <v>49</v>
      </c>
      <c r="H80" s="3">
        <v>89.816666666666706</v>
      </c>
      <c r="I80" s="1">
        <v>2.1</v>
      </c>
    </row>
    <row r="81" spans="1:9" x14ac:dyDescent="0.2">
      <c r="A81">
        <v>8</v>
      </c>
      <c r="B81">
        <v>2</v>
      </c>
      <c r="C81">
        <v>13</v>
      </c>
      <c r="D81">
        <v>3</v>
      </c>
      <c r="E81">
        <v>2.0960000000000001</v>
      </c>
      <c r="F81">
        <v>2.0914999999999999</v>
      </c>
      <c r="G81" s="2">
        <v>72</v>
      </c>
      <c r="H81" s="3">
        <v>139.916666666667</v>
      </c>
      <c r="I81" s="1">
        <v>5.74</v>
      </c>
    </row>
    <row r="82" spans="1:9" x14ac:dyDescent="0.2">
      <c r="A82">
        <v>9</v>
      </c>
      <c r="B82">
        <v>2</v>
      </c>
      <c r="C82">
        <v>13</v>
      </c>
      <c r="D82">
        <v>3</v>
      </c>
      <c r="E82">
        <v>1.33</v>
      </c>
      <c r="F82">
        <v>1.2175</v>
      </c>
      <c r="G82" s="2">
        <v>38</v>
      </c>
      <c r="H82" s="3">
        <v>100.76666666666701</v>
      </c>
      <c r="I82" s="1">
        <v>2.37</v>
      </c>
    </row>
    <row r="83" spans="1:9" x14ac:dyDescent="0.2">
      <c r="A83">
        <v>10</v>
      </c>
      <c r="B83">
        <v>2</v>
      </c>
      <c r="C83">
        <v>13</v>
      </c>
      <c r="D83">
        <v>3</v>
      </c>
      <c r="E83">
        <v>1.8071666666666699</v>
      </c>
      <c r="F83">
        <v>1.7896666666666698</v>
      </c>
      <c r="G83" s="2">
        <v>59</v>
      </c>
      <c r="H83" s="3">
        <v>136.61666666666699</v>
      </c>
      <c r="I83" s="1">
        <v>4.37</v>
      </c>
    </row>
    <row r="84" spans="1:9" x14ac:dyDescent="0.2">
      <c r="A84">
        <v>11</v>
      </c>
      <c r="B84">
        <v>2</v>
      </c>
      <c r="C84">
        <v>13</v>
      </c>
      <c r="D84">
        <v>3</v>
      </c>
      <c r="E84">
        <v>1.4755</v>
      </c>
      <c r="F84">
        <v>1.4495</v>
      </c>
      <c r="G84" s="2">
        <v>49.8333333333333</v>
      </c>
      <c r="H84" s="3">
        <v>103.033333333333</v>
      </c>
      <c r="I84" s="1">
        <v>4.3600000000000003</v>
      </c>
    </row>
    <row r="85" spans="1:9" x14ac:dyDescent="0.2">
      <c r="A85">
        <v>12</v>
      </c>
      <c r="B85">
        <v>2</v>
      </c>
      <c r="C85">
        <v>13</v>
      </c>
      <c r="D85">
        <v>3</v>
      </c>
      <c r="E85">
        <v>1.2546666666666699</v>
      </c>
      <c r="F85">
        <v>1.2101666666666699</v>
      </c>
      <c r="G85" s="2">
        <v>47.6666666666667</v>
      </c>
      <c r="H85" s="3">
        <v>110.2</v>
      </c>
      <c r="I85" s="1">
        <v>2.88</v>
      </c>
    </row>
    <row r="86" spans="1:9" x14ac:dyDescent="0.2">
      <c r="A86">
        <v>1</v>
      </c>
      <c r="B86">
        <v>2</v>
      </c>
      <c r="C86">
        <v>15</v>
      </c>
      <c r="D86">
        <v>4</v>
      </c>
      <c r="E86">
        <v>2.1949999999999998</v>
      </c>
      <c r="F86">
        <v>2.3753333333333297</v>
      </c>
      <c r="G86" s="2">
        <v>100.833333333333</v>
      </c>
      <c r="H86" s="3">
        <v>110.416666666667</v>
      </c>
      <c r="I86" s="1">
        <v>3.17</v>
      </c>
    </row>
    <row r="87" spans="1:9" x14ac:dyDescent="0.2">
      <c r="A87">
        <v>2</v>
      </c>
      <c r="B87">
        <v>2</v>
      </c>
      <c r="C87">
        <v>15</v>
      </c>
      <c r="D87">
        <v>4</v>
      </c>
      <c r="E87">
        <v>2.3411666666666702</v>
      </c>
      <c r="F87">
        <v>2.4403333333333297</v>
      </c>
      <c r="G87" s="2">
        <v>75.6666666666667</v>
      </c>
      <c r="H87" s="3">
        <v>131.566666666667</v>
      </c>
      <c r="I87" s="1">
        <v>5.59</v>
      </c>
    </row>
    <row r="88" spans="1:9" x14ac:dyDescent="0.2">
      <c r="A88">
        <v>3</v>
      </c>
      <c r="B88">
        <v>2</v>
      </c>
      <c r="C88">
        <v>15</v>
      </c>
      <c r="D88">
        <v>4</v>
      </c>
      <c r="E88">
        <v>1.78216666666667</v>
      </c>
      <c r="F88">
        <v>1.76016666666667</v>
      </c>
      <c r="G88" s="2">
        <v>45</v>
      </c>
      <c r="H88" s="3">
        <v>130.15</v>
      </c>
      <c r="I88" s="1">
        <v>2.7</v>
      </c>
    </row>
    <row r="89" spans="1:9" x14ac:dyDescent="0.2">
      <c r="A89">
        <v>4</v>
      </c>
      <c r="B89">
        <v>2</v>
      </c>
      <c r="C89">
        <v>15</v>
      </c>
      <c r="D89">
        <v>4</v>
      </c>
      <c r="E89">
        <v>1.9186666666666699</v>
      </c>
      <c r="F89">
        <v>1.8334999999999999</v>
      </c>
      <c r="G89" s="2">
        <v>60.3333333333333</v>
      </c>
      <c r="H89" s="3">
        <v>107.083333333333</v>
      </c>
      <c r="I89" s="1">
        <v>5.17</v>
      </c>
    </row>
    <row r="90" spans="1:9" x14ac:dyDescent="0.2">
      <c r="A90">
        <v>5</v>
      </c>
      <c r="B90">
        <v>2</v>
      </c>
      <c r="C90">
        <v>15</v>
      </c>
      <c r="D90">
        <v>4</v>
      </c>
      <c r="E90">
        <v>3.0893333333333297</v>
      </c>
      <c r="F90">
        <v>3.3765000000000001</v>
      </c>
      <c r="G90" s="2">
        <v>161.666666666667</v>
      </c>
      <c r="H90" s="3">
        <v>187</v>
      </c>
      <c r="I90" s="1">
        <v>12.38</v>
      </c>
    </row>
    <row r="91" spans="1:9" x14ac:dyDescent="0.2">
      <c r="A91">
        <v>6</v>
      </c>
      <c r="B91">
        <v>2</v>
      </c>
      <c r="C91">
        <v>15</v>
      </c>
      <c r="D91">
        <v>4</v>
      </c>
      <c r="E91">
        <v>2.9968333333333299</v>
      </c>
      <c r="F91">
        <v>3.1246666666666703</v>
      </c>
      <c r="G91" s="2">
        <v>109.166666666667</v>
      </c>
      <c r="H91" s="3">
        <v>151.683333333333</v>
      </c>
      <c r="I91" s="1">
        <v>6.77</v>
      </c>
    </row>
    <row r="92" spans="1:9" x14ac:dyDescent="0.2">
      <c r="A92">
        <v>7</v>
      </c>
      <c r="B92">
        <v>2</v>
      </c>
      <c r="C92">
        <v>15</v>
      </c>
      <c r="D92">
        <v>4</v>
      </c>
      <c r="E92">
        <v>1.716</v>
      </c>
      <c r="F92">
        <v>1.62883333333333</v>
      </c>
      <c r="G92" s="2">
        <v>58.5</v>
      </c>
      <c r="H92" s="3">
        <v>107.85</v>
      </c>
      <c r="I92" s="1">
        <v>2.64</v>
      </c>
    </row>
    <row r="93" spans="1:9" x14ac:dyDescent="0.2">
      <c r="A93">
        <v>8</v>
      </c>
      <c r="B93">
        <v>2</v>
      </c>
      <c r="C93">
        <v>15</v>
      </c>
      <c r="D93">
        <v>4</v>
      </c>
      <c r="E93">
        <v>2.5373333333333297</v>
      </c>
      <c r="F93">
        <v>2.7035</v>
      </c>
      <c r="G93" s="2">
        <v>100.5</v>
      </c>
      <c r="H93" s="3">
        <v>154.96666666666701</v>
      </c>
      <c r="I93" s="1">
        <v>8.1999999999999993</v>
      </c>
    </row>
    <row r="94" spans="1:9" x14ac:dyDescent="0.2">
      <c r="A94">
        <v>9</v>
      </c>
      <c r="B94">
        <v>2</v>
      </c>
      <c r="C94">
        <v>15</v>
      </c>
      <c r="D94">
        <v>4</v>
      </c>
      <c r="E94">
        <v>1.7135</v>
      </c>
      <c r="F94">
        <v>1.7973333333333301</v>
      </c>
      <c r="G94" s="2">
        <v>54</v>
      </c>
      <c r="H94" s="3">
        <v>119.95</v>
      </c>
      <c r="I94" s="1">
        <v>3.13</v>
      </c>
    </row>
    <row r="95" spans="1:9" x14ac:dyDescent="0.2">
      <c r="A95">
        <v>10</v>
      </c>
      <c r="B95">
        <v>2</v>
      </c>
      <c r="C95">
        <v>15</v>
      </c>
      <c r="D95">
        <v>4</v>
      </c>
      <c r="E95">
        <v>2.0590000000000002</v>
      </c>
      <c r="F95">
        <v>2.1230000000000002</v>
      </c>
      <c r="G95" s="2">
        <v>70.1666666666667</v>
      </c>
      <c r="H95" s="3">
        <v>150.583333333333</v>
      </c>
      <c r="I95" s="1">
        <v>4.34</v>
      </c>
    </row>
    <row r="96" spans="1:9" x14ac:dyDescent="0.2">
      <c r="A96">
        <v>11</v>
      </c>
      <c r="B96">
        <v>2</v>
      </c>
      <c r="C96">
        <v>15</v>
      </c>
      <c r="D96">
        <v>4</v>
      </c>
      <c r="E96">
        <v>1.8905000000000001</v>
      </c>
      <c r="F96">
        <v>1.994</v>
      </c>
      <c r="G96" s="2">
        <v>68.8333333333333</v>
      </c>
      <c r="H96" s="3">
        <v>115.8</v>
      </c>
      <c r="I96" s="1">
        <v>6.85</v>
      </c>
    </row>
    <row r="97" spans="1:9" x14ac:dyDescent="0.2">
      <c r="A97">
        <v>12</v>
      </c>
      <c r="B97">
        <v>2</v>
      </c>
      <c r="C97">
        <v>15</v>
      </c>
      <c r="D97">
        <v>4</v>
      </c>
      <c r="E97">
        <v>1.8253333333333301</v>
      </c>
      <c r="F97">
        <v>1.9993333333333301</v>
      </c>
      <c r="G97" s="2">
        <v>78</v>
      </c>
      <c r="H97" s="3">
        <v>140.53333333333299</v>
      </c>
      <c r="I97" s="1">
        <v>4.41</v>
      </c>
    </row>
    <row r="98" spans="1:9" x14ac:dyDescent="0.2">
      <c r="A98">
        <v>1</v>
      </c>
      <c r="B98">
        <v>3</v>
      </c>
      <c r="C98">
        <v>9</v>
      </c>
      <c r="D98">
        <v>1</v>
      </c>
      <c r="E98">
        <v>1.2308333333333301</v>
      </c>
      <c r="F98">
        <v>1.11483333333333</v>
      </c>
      <c r="G98" s="2">
        <v>41.1666666666667</v>
      </c>
      <c r="H98" s="3">
        <v>79.9166666666667</v>
      </c>
      <c r="I98" s="1">
        <v>0.81</v>
      </c>
    </row>
    <row r="99" spans="1:9" x14ac:dyDescent="0.2">
      <c r="A99">
        <v>2</v>
      </c>
      <c r="B99">
        <v>3</v>
      </c>
      <c r="C99">
        <v>9</v>
      </c>
      <c r="D99">
        <v>1</v>
      </c>
      <c r="E99">
        <v>1.39283333333333</v>
      </c>
      <c r="F99">
        <v>1.2024999999999999</v>
      </c>
      <c r="G99" s="2">
        <v>37.1666666666667</v>
      </c>
      <c r="H99" s="3">
        <v>105.2</v>
      </c>
      <c r="I99" s="1">
        <v>2.23</v>
      </c>
    </row>
    <row r="100" spans="1:9" x14ac:dyDescent="0.2">
      <c r="A100">
        <v>3</v>
      </c>
      <c r="B100">
        <v>3</v>
      </c>
      <c r="C100">
        <v>9</v>
      </c>
      <c r="D100">
        <v>1</v>
      </c>
      <c r="E100">
        <v>1.0993333333333302</v>
      </c>
      <c r="F100">
        <v>0.958666666666667</v>
      </c>
      <c r="G100" s="2">
        <v>27.3333333333333</v>
      </c>
      <c r="H100" s="3">
        <v>117.7</v>
      </c>
      <c r="I100" s="1">
        <v>2.19</v>
      </c>
    </row>
    <row r="101" spans="1:9" x14ac:dyDescent="0.2">
      <c r="A101">
        <v>4</v>
      </c>
      <c r="B101">
        <v>3</v>
      </c>
      <c r="C101">
        <v>9</v>
      </c>
      <c r="D101">
        <v>1</v>
      </c>
      <c r="E101">
        <v>1.0820000000000001</v>
      </c>
      <c r="F101">
        <v>0.96966666666666701</v>
      </c>
      <c r="G101" s="2">
        <v>30.5</v>
      </c>
      <c r="H101" s="3">
        <v>87.316666666666706</v>
      </c>
      <c r="I101" s="1">
        <v>1.44</v>
      </c>
    </row>
    <row r="102" spans="1:9" x14ac:dyDescent="0.2">
      <c r="A102">
        <v>5</v>
      </c>
      <c r="B102">
        <v>3</v>
      </c>
      <c r="C102">
        <v>9</v>
      </c>
      <c r="D102">
        <v>1</v>
      </c>
      <c r="E102">
        <v>1.74616666666667</v>
      </c>
      <c r="F102">
        <v>1.77983333333333</v>
      </c>
      <c r="G102" s="2">
        <v>74.6666666666667</v>
      </c>
      <c r="H102" s="3">
        <v>128.9</v>
      </c>
      <c r="I102" s="1">
        <v>5.67</v>
      </c>
    </row>
    <row r="103" spans="1:9" x14ac:dyDescent="0.2">
      <c r="A103">
        <v>6</v>
      </c>
      <c r="B103">
        <v>3</v>
      </c>
      <c r="C103">
        <v>9</v>
      </c>
      <c r="D103">
        <v>1</v>
      </c>
      <c r="E103">
        <v>1.6145</v>
      </c>
      <c r="F103">
        <v>1.51016666666667</v>
      </c>
      <c r="G103" s="2">
        <v>45.8333333333333</v>
      </c>
      <c r="H103" s="3">
        <v>108.216666666667</v>
      </c>
      <c r="I103" s="1">
        <v>1.86</v>
      </c>
    </row>
    <row r="104" spans="1:9" x14ac:dyDescent="0.2">
      <c r="A104">
        <v>7</v>
      </c>
      <c r="B104">
        <v>3</v>
      </c>
      <c r="C104">
        <v>9</v>
      </c>
      <c r="D104">
        <v>1</v>
      </c>
      <c r="E104">
        <v>0.98633333333333306</v>
      </c>
      <c r="F104">
        <v>0.88983333333333303</v>
      </c>
      <c r="G104" s="2">
        <v>33.1666666666667</v>
      </c>
      <c r="H104" s="3">
        <v>70.116666666666703</v>
      </c>
      <c r="I104" s="1">
        <v>1.8</v>
      </c>
    </row>
    <row r="105" spans="1:9" x14ac:dyDescent="0.2">
      <c r="A105">
        <v>8</v>
      </c>
      <c r="B105">
        <v>3</v>
      </c>
      <c r="C105">
        <v>9</v>
      </c>
      <c r="D105">
        <v>1</v>
      </c>
      <c r="E105">
        <v>1.3845000000000001</v>
      </c>
      <c r="F105">
        <v>1.4015</v>
      </c>
      <c r="G105" s="2">
        <v>42.3333333333333</v>
      </c>
      <c r="H105" s="3">
        <v>99.25</v>
      </c>
      <c r="I105" s="1">
        <v>2.23</v>
      </c>
    </row>
    <row r="106" spans="1:9" x14ac:dyDescent="0.2">
      <c r="A106">
        <v>9</v>
      </c>
      <c r="B106">
        <v>3</v>
      </c>
      <c r="C106">
        <v>9</v>
      </c>
      <c r="D106">
        <v>1</v>
      </c>
      <c r="E106">
        <v>1.0075000000000001</v>
      </c>
      <c r="F106">
        <v>0.92349999999999999</v>
      </c>
      <c r="G106" s="2">
        <v>26.6666666666667</v>
      </c>
      <c r="H106" s="3">
        <v>80.383333333333297</v>
      </c>
      <c r="I106" s="1">
        <v>2.17</v>
      </c>
    </row>
    <row r="107" spans="1:9" x14ac:dyDescent="0.2">
      <c r="A107">
        <v>10</v>
      </c>
      <c r="B107">
        <v>3</v>
      </c>
      <c r="C107">
        <v>9</v>
      </c>
      <c r="D107">
        <v>1</v>
      </c>
      <c r="E107">
        <v>1.56233333333333</v>
      </c>
      <c r="F107">
        <v>1.6036666666666699</v>
      </c>
      <c r="G107" s="2">
        <v>59</v>
      </c>
      <c r="H107" s="3">
        <v>107.583333333333</v>
      </c>
      <c r="I107" s="1">
        <v>3.33</v>
      </c>
    </row>
    <row r="108" spans="1:9" x14ac:dyDescent="0.2">
      <c r="A108">
        <v>11</v>
      </c>
      <c r="B108">
        <v>3</v>
      </c>
      <c r="C108">
        <v>9</v>
      </c>
      <c r="D108">
        <v>1</v>
      </c>
      <c r="E108">
        <v>1.0451666666666699</v>
      </c>
      <c r="F108">
        <v>1.1405000000000001</v>
      </c>
      <c r="G108" s="2">
        <v>43.8333333333333</v>
      </c>
      <c r="H108" s="3">
        <v>92.783333333333303</v>
      </c>
      <c r="I108" s="1">
        <v>3.03</v>
      </c>
    </row>
    <row r="109" spans="1:9" x14ac:dyDescent="0.2">
      <c r="A109">
        <v>12</v>
      </c>
      <c r="B109">
        <v>3</v>
      </c>
      <c r="C109">
        <v>9</v>
      </c>
      <c r="D109">
        <v>1</v>
      </c>
      <c r="E109">
        <v>0.80149999999999999</v>
      </c>
      <c r="F109">
        <v>0.75383333333333302</v>
      </c>
      <c r="G109" s="2">
        <v>28.6666666666667</v>
      </c>
      <c r="H109" s="3">
        <v>93.616666666666703</v>
      </c>
      <c r="I109" s="1">
        <v>1.2</v>
      </c>
    </row>
    <row r="110" spans="1:9" x14ac:dyDescent="0.2">
      <c r="A110">
        <v>1</v>
      </c>
      <c r="B110">
        <v>3</v>
      </c>
      <c r="C110">
        <v>11</v>
      </c>
      <c r="D110">
        <v>2</v>
      </c>
      <c r="E110">
        <v>1.3218333333333301</v>
      </c>
      <c r="F110">
        <v>1.1668333333333301</v>
      </c>
      <c r="G110" s="2">
        <v>44.8333333333333</v>
      </c>
      <c r="H110" s="3">
        <v>85.883333333333297</v>
      </c>
      <c r="I110" s="1">
        <v>1.31</v>
      </c>
    </row>
    <row r="111" spans="1:9" x14ac:dyDescent="0.2">
      <c r="A111">
        <v>2</v>
      </c>
      <c r="B111">
        <v>3</v>
      </c>
      <c r="C111">
        <v>11</v>
      </c>
      <c r="D111">
        <v>2</v>
      </c>
      <c r="E111">
        <v>1.63683333333333</v>
      </c>
      <c r="F111">
        <v>1.5411666666666699</v>
      </c>
      <c r="G111" s="2">
        <v>45</v>
      </c>
      <c r="H111" s="3">
        <v>109.466666666667</v>
      </c>
      <c r="I111" s="1">
        <v>2.63</v>
      </c>
    </row>
    <row r="112" spans="1:9" x14ac:dyDescent="0.2">
      <c r="A112">
        <v>3</v>
      </c>
      <c r="B112">
        <v>3</v>
      </c>
      <c r="C112">
        <v>11</v>
      </c>
      <c r="D112">
        <v>2</v>
      </c>
      <c r="E112">
        <v>1.2408333333333301</v>
      </c>
      <c r="F112">
        <v>1.19533333333333</v>
      </c>
      <c r="G112" s="2">
        <v>39</v>
      </c>
      <c r="H112" s="3">
        <v>117.216666666667</v>
      </c>
      <c r="I112" s="1">
        <v>1.97</v>
      </c>
    </row>
    <row r="113" spans="1:9" x14ac:dyDescent="0.2">
      <c r="A113">
        <v>4</v>
      </c>
      <c r="B113">
        <v>3</v>
      </c>
      <c r="C113">
        <v>11</v>
      </c>
      <c r="D113">
        <v>2</v>
      </c>
      <c r="E113">
        <v>1.36683333333333</v>
      </c>
      <c r="F113">
        <v>1.3856666666666699</v>
      </c>
      <c r="G113" s="2">
        <v>40.1666666666667</v>
      </c>
      <c r="H113" s="3">
        <v>99.3</v>
      </c>
      <c r="I113" s="1">
        <v>3.1</v>
      </c>
    </row>
    <row r="114" spans="1:9" x14ac:dyDescent="0.2">
      <c r="A114">
        <v>5</v>
      </c>
      <c r="B114">
        <v>3</v>
      </c>
      <c r="C114">
        <v>11</v>
      </c>
      <c r="D114">
        <v>2</v>
      </c>
      <c r="E114">
        <v>2.2364999999999999</v>
      </c>
      <c r="F114">
        <v>2.3965000000000001</v>
      </c>
      <c r="G114" s="2">
        <v>97.3333333333333</v>
      </c>
      <c r="H114" s="3">
        <v>148.19999999999999</v>
      </c>
      <c r="I114" s="1">
        <v>6.31</v>
      </c>
    </row>
    <row r="115" spans="1:9" x14ac:dyDescent="0.2">
      <c r="A115">
        <v>6</v>
      </c>
      <c r="B115">
        <v>3</v>
      </c>
      <c r="C115">
        <v>11</v>
      </c>
      <c r="D115">
        <v>2</v>
      </c>
      <c r="E115">
        <v>1.95966666666667</v>
      </c>
      <c r="F115">
        <v>1.93783333333333</v>
      </c>
      <c r="G115" s="2">
        <v>55.6666666666667</v>
      </c>
      <c r="H115" s="3">
        <v>118.95</v>
      </c>
      <c r="I115" s="1">
        <v>1.56</v>
      </c>
    </row>
    <row r="116" spans="1:9" x14ac:dyDescent="0.2">
      <c r="A116">
        <v>7</v>
      </c>
      <c r="B116">
        <v>3</v>
      </c>
      <c r="C116">
        <v>11</v>
      </c>
      <c r="D116">
        <v>2</v>
      </c>
      <c r="E116">
        <v>1.1043333333333301</v>
      </c>
      <c r="F116">
        <v>1.0333333333333301</v>
      </c>
      <c r="G116" s="2">
        <v>37</v>
      </c>
      <c r="H116" s="3">
        <v>75.099999999999994</v>
      </c>
      <c r="I116" s="1">
        <v>1.91</v>
      </c>
    </row>
    <row r="117" spans="1:9" x14ac:dyDescent="0.2">
      <c r="A117">
        <v>8</v>
      </c>
      <c r="B117">
        <v>3</v>
      </c>
      <c r="C117">
        <v>11</v>
      </c>
      <c r="D117">
        <v>2</v>
      </c>
      <c r="E117">
        <v>1.6458333333333302</v>
      </c>
      <c r="F117">
        <v>1.7263333333333302</v>
      </c>
      <c r="G117" s="2">
        <v>55.3333333333333</v>
      </c>
      <c r="H117" s="3">
        <v>114.01666666666701</v>
      </c>
      <c r="I117" s="1">
        <v>3.2</v>
      </c>
    </row>
    <row r="118" spans="1:9" x14ac:dyDescent="0.2">
      <c r="A118">
        <v>9</v>
      </c>
      <c r="B118">
        <v>3</v>
      </c>
      <c r="C118">
        <v>11</v>
      </c>
      <c r="D118">
        <v>2</v>
      </c>
      <c r="E118">
        <v>1.1261666666666699</v>
      </c>
      <c r="F118">
        <v>1.04233333333333</v>
      </c>
      <c r="G118" s="2">
        <v>31.1666666666667</v>
      </c>
      <c r="H118" s="3">
        <v>86.366666666666703</v>
      </c>
      <c r="I118" s="1">
        <v>2.06</v>
      </c>
    </row>
    <row r="119" spans="1:9" x14ac:dyDescent="0.2">
      <c r="A119">
        <v>10</v>
      </c>
      <c r="B119">
        <v>3</v>
      </c>
      <c r="C119">
        <v>11</v>
      </c>
      <c r="D119">
        <v>2</v>
      </c>
      <c r="E119">
        <v>1.5985</v>
      </c>
      <c r="F119">
        <v>1.55466666666667</v>
      </c>
      <c r="G119" s="2">
        <v>57.8333333333333</v>
      </c>
      <c r="H119" s="3">
        <v>111.51666666666701</v>
      </c>
      <c r="I119" s="1">
        <v>3.72</v>
      </c>
    </row>
    <row r="120" spans="1:9" x14ac:dyDescent="0.2">
      <c r="A120">
        <v>11</v>
      </c>
      <c r="B120">
        <v>3</v>
      </c>
      <c r="C120">
        <v>11</v>
      </c>
      <c r="D120">
        <v>2</v>
      </c>
      <c r="E120">
        <v>1.0658333333333301</v>
      </c>
      <c r="F120">
        <v>0.93200000000000005</v>
      </c>
      <c r="G120" s="2">
        <v>34.6666666666667</v>
      </c>
      <c r="H120" s="3">
        <v>95.133333333333297</v>
      </c>
      <c r="I120" s="1">
        <v>2.81</v>
      </c>
    </row>
    <row r="121" spans="1:9" x14ac:dyDescent="0.2">
      <c r="A121">
        <v>12</v>
      </c>
      <c r="B121">
        <v>3</v>
      </c>
      <c r="C121">
        <v>11</v>
      </c>
      <c r="D121">
        <v>2</v>
      </c>
      <c r="E121">
        <v>0.90766666666666695</v>
      </c>
      <c r="F121">
        <v>0.87483333333333302</v>
      </c>
      <c r="G121" s="2">
        <v>35.1666666666667</v>
      </c>
      <c r="H121" s="3">
        <v>95.75</v>
      </c>
      <c r="I121" s="1">
        <v>1.44</v>
      </c>
    </row>
    <row r="122" spans="1:9" x14ac:dyDescent="0.2">
      <c r="A122">
        <v>1</v>
      </c>
      <c r="B122">
        <v>3</v>
      </c>
      <c r="C122">
        <v>13</v>
      </c>
      <c r="D122">
        <v>3</v>
      </c>
      <c r="E122">
        <v>1.6895</v>
      </c>
      <c r="F122">
        <v>1.6539999999999999</v>
      </c>
      <c r="G122" s="2">
        <v>58.5</v>
      </c>
      <c r="H122" s="3">
        <v>91.966666666666697</v>
      </c>
      <c r="I122" s="1">
        <v>2.36</v>
      </c>
    </row>
    <row r="123" spans="1:9" x14ac:dyDescent="0.2">
      <c r="A123">
        <v>2</v>
      </c>
      <c r="B123">
        <v>3</v>
      </c>
      <c r="C123">
        <v>13</v>
      </c>
      <c r="D123">
        <v>3</v>
      </c>
      <c r="E123">
        <v>1.8496666666666699</v>
      </c>
      <c r="F123">
        <v>1.77416666666667</v>
      </c>
      <c r="G123" s="2">
        <v>50.8333333333333</v>
      </c>
      <c r="H123" s="3">
        <v>117.6</v>
      </c>
      <c r="I123" s="1">
        <v>2.8</v>
      </c>
    </row>
    <row r="124" spans="1:9" x14ac:dyDescent="0.2">
      <c r="A124">
        <v>3</v>
      </c>
      <c r="B124">
        <v>3</v>
      </c>
      <c r="C124">
        <v>13</v>
      </c>
      <c r="D124">
        <v>3</v>
      </c>
      <c r="E124">
        <v>1.42766666666667</v>
      </c>
      <c r="F124">
        <v>1.2491666666666699</v>
      </c>
      <c r="G124" s="2">
        <v>35.6666666666667</v>
      </c>
      <c r="H124" s="3">
        <v>121.25</v>
      </c>
      <c r="I124" s="1">
        <v>2.78</v>
      </c>
    </row>
    <row r="125" spans="1:9" x14ac:dyDescent="0.2">
      <c r="A125">
        <v>4</v>
      </c>
      <c r="B125">
        <v>3</v>
      </c>
      <c r="C125">
        <v>13</v>
      </c>
      <c r="D125">
        <v>3</v>
      </c>
      <c r="E125">
        <v>1.7731666666666699</v>
      </c>
      <c r="F125">
        <v>1.99833333333333</v>
      </c>
      <c r="G125" s="2">
        <v>57.5</v>
      </c>
      <c r="H125" s="3">
        <v>112.01666666666701</v>
      </c>
      <c r="I125" s="1">
        <v>3.7</v>
      </c>
    </row>
    <row r="126" spans="1:9" x14ac:dyDescent="0.2">
      <c r="A126">
        <v>5</v>
      </c>
      <c r="B126">
        <v>3</v>
      </c>
      <c r="C126">
        <v>13</v>
      </c>
      <c r="D126">
        <v>3</v>
      </c>
      <c r="E126">
        <v>2.6356666666666699</v>
      </c>
      <c r="F126">
        <v>2.88866666666667</v>
      </c>
      <c r="G126" s="2">
        <v>119.333333333333</v>
      </c>
      <c r="H126" s="3">
        <v>170.316666666667</v>
      </c>
      <c r="I126" s="1">
        <v>7.78</v>
      </c>
    </row>
    <row r="127" spans="1:9" x14ac:dyDescent="0.2">
      <c r="A127">
        <v>6</v>
      </c>
      <c r="B127">
        <v>3</v>
      </c>
      <c r="C127">
        <v>13</v>
      </c>
      <c r="D127">
        <v>3</v>
      </c>
      <c r="E127">
        <v>2.2358333333333298</v>
      </c>
      <c r="F127">
        <v>2.37</v>
      </c>
      <c r="G127" s="2">
        <v>72.6666666666667</v>
      </c>
      <c r="H127" s="3">
        <v>131.03333333333299</v>
      </c>
      <c r="I127" s="1">
        <v>1.94</v>
      </c>
    </row>
    <row r="128" spans="1:9" x14ac:dyDescent="0.2">
      <c r="A128">
        <v>7</v>
      </c>
      <c r="B128">
        <v>3</v>
      </c>
      <c r="C128">
        <v>13</v>
      </c>
      <c r="D128">
        <v>3</v>
      </c>
      <c r="E128">
        <v>1.25583333333333</v>
      </c>
      <c r="F128">
        <v>1.2709999999999999</v>
      </c>
      <c r="G128" s="2">
        <v>49.5</v>
      </c>
      <c r="H128" s="3">
        <v>84.383333333333297</v>
      </c>
      <c r="I128" s="1">
        <v>2.68</v>
      </c>
    </row>
    <row r="129" spans="1:9" x14ac:dyDescent="0.2">
      <c r="A129">
        <v>8</v>
      </c>
      <c r="B129">
        <v>3</v>
      </c>
      <c r="C129">
        <v>13</v>
      </c>
      <c r="D129">
        <v>3</v>
      </c>
      <c r="E129">
        <v>2.0036666666666698</v>
      </c>
      <c r="F129">
        <v>2.2368333333333297</v>
      </c>
      <c r="G129" s="2">
        <v>72.3333333333333</v>
      </c>
      <c r="H129" s="3">
        <v>134.416666666667</v>
      </c>
      <c r="I129" s="1">
        <v>5.27</v>
      </c>
    </row>
    <row r="130" spans="1:9" x14ac:dyDescent="0.2">
      <c r="A130">
        <v>9</v>
      </c>
      <c r="B130">
        <v>3</v>
      </c>
      <c r="C130">
        <v>13</v>
      </c>
      <c r="D130">
        <v>3</v>
      </c>
      <c r="E130">
        <v>1.36266666666667</v>
      </c>
      <c r="F130">
        <v>1.3058333333333301</v>
      </c>
      <c r="G130" s="2">
        <v>36.6666666666667</v>
      </c>
      <c r="H130" s="3">
        <v>97.6666666666667</v>
      </c>
      <c r="I130" s="1">
        <v>2.2400000000000002</v>
      </c>
    </row>
    <row r="131" spans="1:9" x14ac:dyDescent="0.2">
      <c r="A131">
        <v>10</v>
      </c>
      <c r="B131">
        <v>3</v>
      </c>
      <c r="C131">
        <v>13</v>
      </c>
      <c r="D131">
        <v>3</v>
      </c>
      <c r="E131">
        <v>1.8140000000000001</v>
      </c>
      <c r="F131">
        <v>1.7446666666666699</v>
      </c>
      <c r="G131" s="2">
        <v>58.8333333333333</v>
      </c>
      <c r="H131" s="3">
        <v>129.28333333333299</v>
      </c>
      <c r="I131" s="1">
        <v>4.16</v>
      </c>
    </row>
    <row r="132" spans="1:9" x14ac:dyDescent="0.2">
      <c r="A132">
        <v>11</v>
      </c>
      <c r="B132">
        <v>3</v>
      </c>
      <c r="C132">
        <v>13</v>
      </c>
      <c r="D132">
        <v>3</v>
      </c>
      <c r="E132">
        <v>1.4198333333333302</v>
      </c>
      <c r="F132">
        <v>1.3981666666666699</v>
      </c>
      <c r="G132" s="2">
        <v>46.5</v>
      </c>
      <c r="H132" s="3">
        <v>103.01666666666701</v>
      </c>
      <c r="I132" s="1">
        <v>4.21</v>
      </c>
    </row>
    <row r="133" spans="1:9" x14ac:dyDescent="0.2">
      <c r="A133">
        <v>12</v>
      </c>
      <c r="B133">
        <v>3</v>
      </c>
      <c r="C133">
        <v>13</v>
      </c>
      <c r="D133">
        <v>3</v>
      </c>
      <c r="E133">
        <v>1.3049999999999999</v>
      </c>
      <c r="F133">
        <v>1.3380000000000001</v>
      </c>
      <c r="G133" s="2">
        <v>50.5</v>
      </c>
      <c r="H133" s="3">
        <v>116.416666666667</v>
      </c>
      <c r="I133" s="1">
        <v>2.3199999999999998</v>
      </c>
    </row>
    <row r="134" spans="1:9" x14ac:dyDescent="0.2">
      <c r="A134">
        <v>1</v>
      </c>
      <c r="B134">
        <v>3</v>
      </c>
      <c r="C134">
        <v>15</v>
      </c>
      <c r="D134">
        <v>4</v>
      </c>
      <c r="E134">
        <v>2.1785000000000001</v>
      </c>
      <c r="F134">
        <v>2.4021666666666701</v>
      </c>
      <c r="G134" s="2">
        <v>94</v>
      </c>
      <c r="H134" s="3">
        <v>108.216666666667</v>
      </c>
      <c r="I134" s="1">
        <v>4.07</v>
      </c>
    </row>
    <row r="135" spans="1:9" x14ac:dyDescent="0.2">
      <c r="A135">
        <v>2</v>
      </c>
      <c r="B135">
        <v>3</v>
      </c>
      <c r="C135">
        <v>15</v>
      </c>
      <c r="D135">
        <v>4</v>
      </c>
      <c r="E135">
        <v>2.3158333333333299</v>
      </c>
      <c r="F135">
        <v>2.4064999999999999</v>
      </c>
      <c r="G135" s="2">
        <v>70</v>
      </c>
      <c r="H135" s="3">
        <v>132.38333333333301</v>
      </c>
      <c r="I135" s="1">
        <v>6.59</v>
      </c>
    </row>
    <row r="136" spans="1:9" x14ac:dyDescent="0.2">
      <c r="A136">
        <v>3</v>
      </c>
      <c r="B136">
        <v>3</v>
      </c>
      <c r="C136">
        <v>15</v>
      </c>
      <c r="D136">
        <v>4</v>
      </c>
      <c r="E136">
        <v>1.71933333333333</v>
      </c>
      <c r="F136">
        <v>1.80416666666667</v>
      </c>
      <c r="G136" s="2">
        <v>52.1666666666667</v>
      </c>
      <c r="H136" s="3">
        <v>127</v>
      </c>
      <c r="I136" s="1">
        <v>3.13</v>
      </c>
    </row>
    <row r="137" spans="1:9" x14ac:dyDescent="0.2">
      <c r="A137">
        <v>4</v>
      </c>
      <c r="B137">
        <v>3</v>
      </c>
      <c r="C137">
        <v>15</v>
      </c>
      <c r="D137">
        <v>4</v>
      </c>
      <c r="E137">
        <v>1.87466666666667</v>
      </c>
      <c r="F137">
        <v>2.1111666666666702</v>
      </c>
      <c r="G137" s="2">
        <v>62.5</v>
      </c>
      <c r="H137" s="3">
        <v>122.066666666667</v>
      </c>
      <c r="I137" s="1">
        <v>4.49</v>
      </c>
    </row>
    <row r="138" spans="1:9" x14ac:dyDescent="0.2">
      <c r="A138">
        <v>5</v>
      </c>
      <c r="B138">
        <v>3</v>
      </c>
      <c r="C138">
        <v>15</v>
      </c>
      <c r="D138">
        <v>4</v>
      </c>
      <c r="E138">
        <v>2.8341666666666701</v>
      </c>
      <c r="F138">
        <v>3.1204999999999998</v>
      </c>
      <c r="G138" s="2">
        <v>137.833333333333</v>
      </c>
      <c r="H138" s="3">
        <v>178.95</v>
      </c>
      <c r="I138" s="1">
        <v>10.31</v>
      </c>
    </row>
    <row r="139" spans="1:9" x14ac:dyDescent="0.2">
      <c r="A139">
        <v>6</v>
      </c>
      <c r="B139">
        <v>3</v>
      </c>
      <c r="C139">
        <v>15</v>
      </c>
      <c r="D139">
        <v>4</v>
      </c>
      <c r="E139">
        <v>2.8094999999999999</v>
      </c>
      <c r="F139">
        <v>3.23</v>
      </c>
      <c r="G139" s="2">
        <v>104.666666666667</v>
      </c>
      <c r="H139" s="3">
        <v>152.23333333333301</v>
      </c>
      <c r="I139" s="1">
        <v>2.23</v>
      </c>
    </row>
    <row r="140" spans="1:9" x14ac:dyDescent="0.2">
      <c r="A140">
        <v>7</v>
      </c>
      <c r="B140">
        <v>3</v>
      </c>
      <c r="C140">
        <v>15</v>
      </c>
      <c r="D140">
        <v>4</v>
      </c>
      <c r="E140">
        <v>1.6686666666666699</v>
      </c>
      <c r="F140">
        <v>1.71966666666667</v>
      </c>
      <c r="G140" s="2">
        <v>67.5</v>
      </c>
      <c r="H140" s="3">
        <v>101.133333333333</v>
      </c>
      <c r="I140" s="1">
        <v>3.49</v>
      </c>
    </row>
    <row r="141" spans="1:9" x14ac:dyDescent="0.2">
      <c r="A141">
        <v>8</v>
      </c>
      <c r="B141">
        <v>3</v>
      </c>
      <c r="C141">
        <v>15</v>
      </c>
      <c r="D141">
        <v>4</v>
      </c>
      <c r="E141">
        <v>2.3968333333333298</v>
      </c>
      <c r="F141">
        <v>2.66516666666667</v>
      </c>
      <c r="G141" s="2">
        <v>94.5</v>
      </c>
      <c r="H141" s="3">
        <v>154.25</v>
      </c>
      <c r="I141" s="1">
        <v>7.25</v>
      </c>
    </row>
    <row r="142" spans="1:9" x14ac:dyDescent="0.2">
      <c r="A142">
        <v>9</v>
      </c>
      <c r="B142">
        <v>3</v>
      </c>
      <c r="C142">
        <v>15</v>
      </c>
      <c r="D142">
        <v>4</v>
      </c>
      <c r="E142">
        <v>1.60516666666667</v>
      </c>
      <c r="F142">
        <v>1.7161666666666699</v>
      </c>
      <c r="G142" s="2">
        <v>50.8333333333333</v>
      </c>
      <c r="H142" s="3">
        <v>112.01666666666701</v>
      </c>
      <c r="I142" s="1">
        <v>4.8099999999999996</v>
      </c>
    </row>
    <row r="143" spans="1:9" x14ac:dyDescent="0.2">
      <c r="A143">
        <v>10</v>
      </c>
      <c r="B143">
        <v>3</v>
      </c>
      <c r="C143">
        <v>15</v>
      </c>
      <c r="D143">
        <v>4</v>
      </c>
      <c r="E143">
        <v>2.1926666666666703</v>
      </c>
      <c r="F143">
        <v>2.14</v>
      </c>
      <c r="G143" s="2">
        <v>75.6666666666667</v>
      </c>
      <c r="H143" s="3">
        <v>139.01666666666699</v>
      </c>
      <c r="I143" s="1">
        <v>5.85</v>
      </c>
    </row>
    <row r="144" spans="1:9" x14ac:dyDescent="0.2">
      <c r="A144">
        <v>11</v>
      </c>
      <c r="B144">
        <v>3</v>
      </c>
      <c r="C144">
        <v>15</v>
      </c>
      <c r="D144">
        <v>4</v>
      </c>
      <c r="E144">
        <v>1.8058333333333301</v>
      </c>
      <c r="F144">
        <v>1.9853333333333301</v>
      </c>
      <c r="G144" s="2">
        <v>64.6666666666667</v>
      </c>
      <c r="H144" s="3">
        <v>114.883333333333</v>
      </c>
      <c r="I144" s="1">
        <v>6.83</v>
      </c>
    </row>
    <row r="145" spans="1:9" x14ac:dyDescent="0.2">
      <c r="A145">
        <v>12</v>
      </c>
      <c r="B145">
        <v>3</v>
      </c>
      <c r="C145">
        <v>15</v>
      </c>
      <c r="D145">
        <v>4</v>
      </c>
      <c r="E145">
        <v>1.82883333333333</v>
      </c>
      <c r="F145">
        <v>2.19166666666667</v>
      </c>
      <c r="G145" s="2">
        <v>85</v>
      </c>
      <c r="H145" s="3">
        <v>144.583333333333</v>
      </c>
      <c r="I145" s="1">
        <v>4.3099999999999996</v>
      </c>
    </row>
    <row r="146" spans="1:9" x14ac:dyDescent="0.2">
      <c r="A146">
        <v>1</v>
      </c>
      <c r="B146">
        <v>4</v>
      </c>
      <c r="C146">
        <v>9</v>
      </c>
      <c r="D146">
        <v>1</v>
      </c>
      <c r="E146">
        <v>1.2463333333333302</v>
      </c>
      <c r="F146">
        <v>1.09466666666667</v>
      </c>
      <c r="G146" s="2">
        <v>46.1666666666667</v>
      </c>
      <c r="H146" s="3" t="s">
        <v>15</v>
      </c>
      <c r="I146" s="1">
        <v>1.28</v>
      </c>
    </row>
    <row r="147" spans="1:9" x14ac:dyDescent="0.2">
      <c r="A147">
        <v>2</v>
      </c>
      <c r="B147">
        <v>4</v>
      </c>
      <c r="C147">
        <v>9</v>
      </c>
      <c r="D147">
        <v>1</v>
      </c>
      <c r="E147">
        <v>1.3881666666666699</v>
      </c>
      <c r="F147">
        <v>1.22616666666667</v>
      </c>
      <c r="G147" s="2">
        <v>38.5</v>
      </c>
      <c r="H147" s="3">
        <v>105.066666666667</v>
      </c>
      <c r="I147" s="1">
        <v>1.63</v>
      </c>
    </row>
    <row r="148" spans="1:9" x14ac:dyDescent="0.2">
      <c r="A148">
        <v>3</v>
      </c>
      <c r="B148">
        <v>4</v>
      </c>
      <c r="C148">
        <v>9</v>
      </c>
      <c r="D148">
        <v>1</v>
      </c>
      <c r="E148">
        <v>1.1496666666666699</v>
      </c>
      <c r="F148">
        <v>0.99733333333333307</v>
      </c>
      <c r="G148" s="2">
        <v>31.5</v>
      </c>
      <c r="H148" s="3">
        <v>101.933333333333</v>
      </c>
      <c r="I148" s="1">
        <v>0.74</v>
      </c>
    </row>
    <row r="149" spans="1:9" x14ac:dyDescent="0.2">
      <c r="A149">
        <v>4</v>
      </c>
      <c r="B149">
        <v>4</v>
      </c>
      <c r="C149">
        <v>9</v>
      </c>
      <c r="D149">
        <v>1</v>
      </c>
      <c r="E149">
        <v>0.84266666666666701</v>
      </c>
      <c r="F149">
        <v>0.70316666666666694</v>
      </c>
      <c r="G149" s="2">
        <v>22.6666666666667</v>
      </c>
      <c r="H149" s="3">
        <v>80.150000000000006</v>
      </c>
      <c r="I149" s="1">
        <v>1.67</v>
      </c>
    </row>
    <row r="150" spans="1:9" x14ac:dyDescent="0.2">
      <c r="A150">
        <v>5</v>
      </c>
      <c r="B150">
        <v>4</v>
      </c>
      <c r="C150">
        <v>9</v>
      </c>
      <c r="D150">
        <v>1</v>
      </c>
      <c r="E150">
        <v>2.0596666666666703</v>
      </c>
      <c r="F150" t="s">
        <v>15</v>
      </c>
      <c r="G150" s="2" t="s">
        <v>15</v>
      </c>
      <c r="H150" s="3">
        <v>127.533333333333</v>
      </c>
      <c r="I150" s="1">
        <v>4.7699999999999996</v>
      </c>
    </row>
    <row r="151" spans="1:9" x14ac:dyDescent="0.2">
      <c r="A151">
        <v>6</v>
      </c>
      <c r="B151">
        <v>4</v>
      </c>
      <c r="C151">
        <v>9</v>
      </c>
      <c r="D151">
        <v>1</v>
      </c>
      <c r="E151">
        <v>1.5356666666666698</v>
      </c>
      <c r="F151">
        <v>1.5798333333333301</v>
      </c>
      <c r="G151" s="2">
        <v>48.5</v>
      </c>
      <c r="H151" s="3">
        <v>106</v>
      </c>
      <c r="I151" s="1">
        <v>0.95</v>
      </c>
    </row>
    <row r="152" spans="1:9" x14ac:dyDescent="0.2">
      <c r="A152">
        <v>7</v>
      </c>
      <c r="B152">
        <v>4</v>
      </c>
      <c r="C152">
        <v>9</v>
      </c>
      <c r="D152">
        <v>1</v>
      </c>
      <c r="E152">
        <v>0.99416666666666698</v>
      </c>
      <c r="F152">
        <v>0.90233333333333299</v>
      </c>
      <c r="G152" s="2">
        <v>33.5</v>
      </c>
      <c r="H152" s="3">
        <v>72.900000000000006</v>
      </c>
      <c r="I152" s="1">
        <v>1.36</v>
      </c>
    </row>
    <row r="153" spans="1:9" x14ac:dyDescent="0.2">
      <c r="A153">
        <v>8</v>
      </c>
      <c r="B153">
        <v>4</v>
      </c>
      <c r="C153">
        <v>9</v>
      </c>
      <c r="D153">
        <v>1</v>
      </c>
      <c r="E153">
        <v>1.4630000000000001</v>
      </c>
      <c r="F153">
        <v>1.37283333333333</v>
      </c>
      <c r="G153" s="2">
        <v>43.6666666666667</v>
      </c>
      <c r="H153" s="3">
        <v>100.76666666666701</v>
      </c>
      <c r="I153" s="1">
        <v>2.4</v>
      </c>
    </row>
    <row r="154" spans="1:9" x14ac:dyDescent="0.2">
      <c r="A154">
        <v>9</v>
      </c>
      <c r="B154">
        <v>4</v>
      </c>
      <c r="C154">
        <v>9</v>
      </c>
      <c r="D154">
        <v>1</v>
      </c>
      <c r="E154">
        <v>1.0756666666666699</v>
      </c>
      <c r="F154">
        <v>0.95983333333333298</v>
      </c>
      <c r="G154" s="2">
        <v>27.8333333333333</v>
      </c>
      <c r="H154" s="3">
        <v>88.5833333333333</v>
      </c>
      <c r="I154" s="1">
        <v>1.39</v>
      </c>
    </row>
    <row r="155" spans="1:9" x14ac:dyDescent="0.2">
      <c r="A155">
        <v>10</v>
      </c>
      <c r="B155">
        <v>4</v>
      </c>
      <c r="C155">
        <v>9</v>
      </c>
      <c r="D155">
        <v>1</v>
      </c>
      <c r="E155">
        <v>1.538</v>
      </c>
      <c r="F155">
        <v>1.5246666666666699</v>
      </c>
      <c r="G155" s="2">
        <v>50.5</v>
      </c>
      <c r="H155" s="3">
        <v>111.866666666667</v>
      </c>
      <c r="I155" s="1">
        <v>2.19</v>
      </c>
    </row>
    <row r="156" spans="1:9" x14ac:dyDescent="0.2">
      <c r="A156">
        <v>11</v>
      </c>
      <c r="B156">
        <v>4</v>
      </c>
      <c r="C156">
        <v>9</v>
      </c>
      <c r="D156">
        <v>1</v>
      </c>
      <c r="E156">
        <v>1.0395000000000001</v>
      </c>
      <c r="F156">
        <v>0.92883333333333307</v>
      </c>
      <c r="G156" s="2">
        <v>34.5</v>
      </c>
      <c r="H156" s="3">
        <v>88.133333333333297</v>
      </c>
      <c r="I156" s="1">
        <v>1.03</v>
      </c>
    </row>
    <row r="157" spans="1:9" x14ac:dyDescent="0.2">
      <c r="A157">
        <v>12</v>
      </c>
      <c r="B157">
        <v>4</v>
      </c>
      <c r="C157">
        <v>9</v>
      </c>
      <c r="D157">
        <v>1</v>
      </c>
      <c r="E157">
        <v>0.80249999999999999</v>
      </c>
      <c r="F157">
        <v>0.709666666666667</v>
      </c>
      <c r="G157" s="2">
        <v>30.8333333333333</v>
      </c>
      <c r="H157" s="3">
        <v>87.1666666666667</v>
      </c>
      <c r="I157" s="1">
        <v>1.59</v>
      </c>
    </row>
    <row r="158" spans="1:9" x14ac:dyDescent="0.2">
      <c r="A158">
        <v>1</v>
      </c>
      <c r="B158">
        <v>4</v>
      </c>
      <c r="C158">
        <v>11</v>
      </c>
      <c r="D158">
        <v>2</v>
      </c>
      <c r="E158">
        <v>1.4045000000000001</v>
      </c>
      <c r="F158">
        <v>1.3116666666666699</v>
      </c>
      <c r="G158" s="2">
        <v>55.1666666666667</v>
      </c>
      <c r="H158" s="3">
        <v>89</v>
      </c>
      <c r="I158" s="1">
        <v>1.73</v>
      </c>
    </row>
    <row r="159" spans="1:9" x14ac:dyDescent="0.2">
      <c r="A159">
        <v>2</v>
      </c>
      <c r="B159">
        <v>4</v>
      </c>
      <c r="C159">
        <v>11</v>
      </c>
      <c r="D159">
        <v>2</v>
      </c>
      <c r="E159">
        <v>1.5580000000000001</v>
      </c>
      <c r="F159">
        <v>1.4208333333333301</v>
      </c>
      <c r="G159" s="2">
        <v>43</v>
      </c>
      <c r="H159" s="3">
        <v>110.1</v>
      </c>
      <c r="I159" s="1">
        <v>1.56</v>
      </c>
    </row>
    <row r="160" spans="1:9" x14ac:dyDescent="0.2">
      <c r="A160">
        <v>3</v>
      </c>
      <c r="B160">
        <v>4</v>
      </c>
      <c r="C160">
        <v>11</v>
      </c>
      <c r="D160">
        <v>2</v>
      </c>
      <c r="E160">
        <v>1.2528333333333301</v>
      </c>
      <c r="F160">
        <v>1.1381666666666699</v>
      </c>
      <c r="G160" s="2">
        <v>34.5</v>
      </c>
      <c r="H160" s="3">
        <v>104.083333333333</v>
      </c>
      <c r="I160" s="1">
        <v>1.43</v>
      </c>
    </row>
    <row r="161" spans="1:9" x14ac:dyDescent="0.2">
      <c r="A161">
        <v>4</v>
      </c>
      <c r="B161">
        <v>4</v>
      </c>
      <c r="C161">
        <v>11</v>
      </c>
      <c r="D161">
        <v>2</v>
      </c>
      <c r="E161">
        <v>1.357</v>
      </c>
      <c r="F161">
        <v>1.2769999999999999</v>
      </c>
      <c r="G161" s="2">
        <v>39.6666666666667</v>
      </c>
      <c r="H161" s="3">
        <v>93.5833333333333</v>
      </c>
      <c r="I161" s="1">
        <v>2.2200000000000002</v>
      </c>
    </row>
    <row r="162" spans="1:9" x14ac:dyDescent="0.2">
      <c r="A162">
        <v>5</v>
      </c>
      <c r="B162">
        <v>4</v>
      </c>
      <c r="C162">
        <v>11</v>
      </c>
      <c r="D162">
        <v>2</v>
      </c>
      <c r="E162">
        <v>2.4341666666666701</v>
      </c>
      <c r="F162" t="s">
        <v>15</v>
      </c>
      <c r="G162" s="2" t="s">
        <v>15</v>
      </c>
      <c r="H162" s="3">
        <v>144.083333333333</v>
      </c>
      <c r="I162" s="1">
        <v>4.75</v>
      </c>
    </row>
    <row r="163" spans="1:9" x14ac:dyDescent="0.2">
      <c r="A163">
        <v>6</v>
      </c>
      <c r="B163">
        <v>4</v>
      </c>
      <c r="C163">
        <v>11</v>
      </c>
      <c r="D163">
        <v>2</v>
      </c>
      <c r="E163">
        <v>1.8835</v>
      </c>
      <c r="F163">
        <v>2.1558333333333297</v>
      </c>
      <c r="G163" s="2">
        <v>63</v>
      </c>
      <c r="H163" s="3">
        <v>105.816666666667</v>
      </c>
      <c r="I163" s="1">
        <v>2.67</v>
      </c>
    </row>
    <row r="164" spans="1:9" x14ac:dyDescent="0.2">
      <c r="A164">
        <v>7</v>
      </c>
      <c r="B164">
        <v>4</v>
      </c>
      <c r="C164">
        <v>11</v>
      </c>
      <c r="D164">
        <v>2</v>
      </c>
      <c r="E164">
        <v>1.069</v>
      </c>
      <c r="F164">
        <v>1.12733333333333</v>
      </c>
      <c r="G164" s="2">
        <v>49.6666666666667</v>
      </c>
      <c r="H164" s="3">
        <v>80.95</v>
      </c>
      <c r="I164" s="1">
        <v>1.83</v>
      </c>
    </row>
    <row r="165" spans="1:9" x14ac:dyDescent="0.2">
      <c r="A165">
        <v>8</v>
      </c>
      <c r="B165">
        <v>4</v>
      </c>
      <c r="C165">
        <v>11</v>
      </c>
      <c r="D165">
        <v>2</v>
      </c>
      <c r="E165">
        <v>1.74566666666667</v>
      </c>
      <c r="F165">
        <v>1.7124999999999999</v>
      </c>
      <c r="G165" s="2">
        <v>54.3333333333333</v>
      </c>
      <c r="H165" s="3">
        <v>113.566666666667</v>
      </c>
      <c r="I165" s="1">
        <v>3.11</v>
      </c>
    </row>
    <row r="166" spans="1:9" x14ac:dyDescent="0.2">
      <c r="A166">
        <v>9</v>
      </c>
      <c r="B166">
        <v>4</v>
      </c>
      <c r="C166">
        <v>11</v>
      </c>
      <c r="D166">
        <v>2</v>
      </c>
      <c r="E166">
        <v>1.1073333333333302</v>
      </c>
      <c r="F166">
        <v>1.0106666666666699</v>
      </c>
      <c r="G166" s="2">
        <v>28.1666666666667</v>
      </c>
      <c r="H166" s="3">
        <v>91.766666666666694</v>
      </c>
      <c r="I166" s="1">
        <v>1.51</v>
      </c>
    </row>
    <row r="167" spans="1:9" x14ac:dyDescent="0.2">
      <c r="A167">
        <v>10</v>
      </c>
      <c r="B167">
        <v>4</v>
      </c>
      <c r="C167">
        <v>11</v>
      </c>
      <c r="D167">
        <v>2</v>
      </c>
      <c r="E167">
        <v>1.657</v>
      </c>
      <c r="F167">
        <v>1.5451666666666699</v>
      </c>
      <c r="G167" s="2">
        <v>54.1666666666667</v>
      </c>
      <c r="H167" s="3">
        <v>119.1</v>
      </c>
      <c r="I167" s="1">
        <v>2.4300000000000002</v>
      </c>
    </row>
    <row r="168" spans="1:9" x14ac:dyDescent="0.2">
      <c r="A168">
        <v>11</v>
      </c>
      <c r="B168">
        <v>4</v>
      </c>
      <c r="C168">
        <v>11</v>
      </c>
      <c r="D168">
        <v>2</v>
      </c>
      <c r="E168">
        <v>1.10316666666667</v>
      </c>
      <c r="F168">
        <v>0.98366666666666702</v>
      </c>
      <c r="G168" s="2">
        <v>36.6666666666667</v>
      </c>
      <c r="H168" s="3">
        <v>91.2</v>
      </c>
      <c r="I168" s="1">
        <v>2.16</v>
      </c>
    </row>
    <row r="169" spans="1:9" x14ac:dyDescent="0.2">
      <c r="A169">
        <v>12</v>
      </c>
      <c r="B169">
        <v>4</v>
      </c>
      <c r="C169">
        <v>11</v>
      </c>
      <c r="D169">
        <v>2</v>
      </c>
      <c r="E169">
        <v>0.91016666666666701</v>
      </c>
      <c r="F169">
        <v>0.81283333333333307</v>
      </c>
      <c r="G169" s="2">
        <v>35.3333333333333</v>
      </c>
      <c r="H169" s="3">
        <v>89.8333333333333</v>
      </c>
      <c r="I169" s="1">
        <v>1.69</v>
      </c>
    </row>
    <row r="170" spans="1:9" x14ac:dyDescent="0.2">
      <c r="A170">
        <v>1</v>
      </c>
      <c r="B170">
        <v>4</v>
      </c>
      <c r="C170">
        <v>13</v>
      </c>
      <c r="D170">
        <v>3</v>
      </c>
      <c r="E170">
        <v>1.754</v>
      </c>
      <c r="F170">
        <v>1.76633333333333</v>
      </c>
      <c r="G170" s="2">
        <v>74.1666666666667</v>
      </c>
      <c r="H170" s="3">
        <v>96</v>
      </c>
      <c r="I170" s="1">
        <v>2.62</v>
      </c>
    </row>
    <row r="171" spans="1:9" x14ac:dyDescent="0.2">
      <c r="A171">
        <v>2</v>
      </c>
      <c r="B171">
        <v>4</v>
      </c>
      <c r="C171">
        <v>13</v>
      </c>
      <c r="D171">
        <v>3</v>
      </c>
      <c r="E171">
        <v>1.8331666666666699</v>
      </c>
      <c r="F171">
        <v>1.7444999999999999</v>
      </c>
      <c r="G171" s="2">
        <v>52.5</v>
      </c>
      <c r="H171" s="3">
        <v>118</v>
      </c>
      <c r="I171" s="1">
        <v>1.67</v>
      </c>
    </row>
    <row r="172" spans="1:9" x14ac:dyDescent="0.2">
      <c r="A172">
        <v>3</v>
      </c>
      <c r="B172">
        <v>4</v>
      </c>
      <c r="C172">
        <v>13</v>
      </c>
      <c r="D172">
        <v>3</v>
      </c>
      <c r="E172">
        <v>1.5069999999999999</v>
      </c>
      <c r="F172">
        <v>1.5413333333333301</v>
      </c>
      <c r="G172" s="2">
        <v>47.5</v>
      </c>
      <c r="H172" s="3">
        <v>111.716666666667</v>
      </c>
      <c r="I172" s="1">
        <v>1.54</v>
      </c>
    </row>
    <row r="173" spans="1:9" x14ac:dyDescent="0.2">
      <c r="A173">
        <v>4</v>
      </c>
      <c r="B173">
        <v>4</v>
      </c>
      <c r="C173">
        <v>13</v>
      </c>
      <c r="D173">
        <v>3</v>
      </c>
      <c r="E173">
        <v>1.552</v>
      </c>
      <c r="F173">
        <v>1.6034999999999999</v>
      </c>
      <c r="G173" s="2">
        <v>50.6666666666667</v>
      </c>
      <c r="H173" s="3">
        <v>103</v>
      </c>
      <c r="I173" s="1">
        <v>3.67</v>
      </c>
    </row>
    <row r="174" spans="1:9" x14ac:dyDescent="0.2">
      <c r="A174">
        <v>5</v>
      </c>
      <c r="B174">
        <v>4</v>
      </c>
      <c r="C174">
        <v>13</v>
      </c>
      <c r="D174">
        <v>3</v>
      </c>
      <c r="E174">
        <v>2.6880000000000002</v>
      </c>
      <c r="F174">
        <v>2.8645</v>
      </c>
      <c r="G174" s="2">
        <v>130.333333333333</v>
      </c>
      <c r="H174" s="3">
        <v>167.25</v>
      </c>
      <c r="I174" s="1">
        <v>8.56</v>
      </c>
    </row>
    <row r="175" spans="1:9" x14ac:dyDescent="0.2">
      <c r="A175">
        <v>6</v>
      </c>
      <c r="B175">
        <v>4</v>
      </c>
      <c r="C175">
        <v>13</v>
      </c>
      <c r="D175">
        <v>3</v>
      </c>
      <c r="E175">
        <v>2.22766666666667</v>
      </c>
      <c r="F175">
        <v>2.6421666666666703</v>
      </c>
      <c r="G175" s="2">
        <v>77.8333333333333</v>
      </c>
      <c r="H175" s="3">
        <v>122.366666666667</v>
      </c>
      <c r="I175" s="1">
        <v>3.7</v>
      </c>
    </row>
    <row r="176" spans="1:9" x14ac:dyDescent="0.2">
      <c r="A176">
        <v>7</v>
      </c>
      <c r="B176">
        <v>4</v>
      </c>
      <c r="C176">
        <v>13</v>
      </c>
      <c r="D176">
        <v>3</v>
      </c>
      <c r="E176">
        <v>1.34433333333333</v>
      </c>
      <c r="F176">
        <v>1.27833333333333</v>
      </c>
      <c r="G176" s="2">
        <v>52</v>
      </c>
      <c r="H176" s="3">
        <v>87.0833333333333</v>
      </c>
      <c r="I176" s="1">
        <v>1.62</v>
      </c>
    </row>
    <row r="177" spans="1:9" x14ac:dyDescent="0.2">
      <c r="A177">
        <v>8</v>
      </c>
      <c r="B177">
        <v>4</v>
      </c>
      <c r="C177">
        <v>13</v>
      </c>
      <c r="D177">
        <v>3</v>
      </c>
      <c r="E177">
        <v>1.9695</v>
      </c>
      <c r="F177">
        <v>2.0255000000000001</v>
      </c>
      <c r="G177" s="2">
        <v>66.1666666666667</v>
      </c>
      <c r="H177" s="3">
        <v>124.95</v>
      </c>
      <c r="I177" s="1">
        <v>4.9800000000000004</v>
      </c>
    </row>
    <row r="178" spans="1:9" x14ac:dyDescent="0.2">
      <c r="A178">
        <v>9</v>
      </c>
      <c r="B178">
        <v>4</v>
      </c>
      <c r="C178">
        <v>13</v>
      </c>
      <c r="D178">
        <v>3</v>
      </c>
      <c r="E178">
        <v>1.3685</v>
      </c>
      <c r="F178">
        <v>1.29016666666667</v>
      </c>
      <c r="G178" s="2">
        <v>37.8333333333333</v>
      </c>
      <c r="H178" s="3">
        <v>101.066666666667</v>
      </c>
      <c r="I178" s="1">
        <v>1.65</v>
      </c>
    </row>
    <row r="179" spans="1:9" x14ac:dyDescent="0.2">
      <c r="A179">
        <v>10</v>
      </c>
      <c r="B179">
        <v>4</v>
      </c>
      <c r="C179">
        <v>13</v>
      </c>
      <c r="D179">
        <v>3</v>
      </c>
      <c r="E179">
        <v>1.8436666666666699</v>
      </c>
      <c r="F179">
        <v>1.7856666666666698</v>
      </c>
      <c r="G179" s="2">
        <v>59.1666666666667</v>
      </c>
      <c r="H179" s="3">
        <v>129.19999999999999</v>
      </c>
      <c r="I179" s="1">
        <v>3.37</v>
      </c>
    </row>
    <row r="180" spans="1:9" x14ac:dyDescent="0.2">
      <c r="A180">
        <v>11</v>
      </c>
      <c r="B180">
        <v>4</v>
      </c>
      <c r="C180">
        <v>13</v>
      </c>
      <c r="D180">
        <v>3</v>
      </c>
      <c r="E180">
        <v>1.4384999999999999</v>
      </c>
      <c r="F180">
        <v>1.44966666666667</v>
      </c>
      <c r="G180" s="2">
        <v>51.3333333333333</v>
      </c>
      <c r="H180" s="3">
        <v>99.466666666666697</v>
      </c>
      <c r="I180" s="1">
        <v>1.63</v>
      </c>
    </row>
    <row r="181" spans="1:9" x14ac:dyDescent="0.2">
      <c r="A181">
        <v>12</v>
      </c>
      <c r="B181">
        <v>4</v>
      </c>
      <c r="C181">
        <v>13</v>
      </c>
      <c r="D181">
        <v>3</v>
      </c>
      <c r="E181">
        <v>1.2450000000000001</v>
      </c>
      <c r="F181">
        <v>1.25616666666667</v>
      </c>
      <c r="G181" s="2">
        <v>48.6666666666667</v>
      </c>
      <c r="H181" s="3">
        <v>106.26666666666701</v>
      </c>
      <c r="I181" s="1">
        <v>2.4700000000000002</v>
      </c>
    </row>
    <row r="182" spans="1:9" x14ac:dyDescent="0.2">
      <c r="A182">
        <v>1</v>
      </c>
      <c r="B182">
        <v>4</v>
      </c>
      <c r="C182">
        <v>15</v>
      </c>
      <c r="D182">
        <v>4</v>
      </c>
      <c r="E182">
        <v>2.20116666666667</v>
      </c>
      <c r="F182">
        <v>2.3158333333333299</v>
      </c>
      <c r="G182" s="2">
        <v>107.5</v>
      </c>
      <c r="H182" s="3">
        <v>106</v>
      </c>
      <c r="I182" s="1">
        <v>3.71</v>
      </c>
    </row>
    <row r="183" spans="1:9" x14ac:dyDescent="0.2">
      <c r="A183">
        <v>2</v>
      </c>
      <c r="B183">
        <v>4</v>
      </c>
      <c r="C183">
        <v>15</v>
      </c>
      <c r="D183">
        <v>4</v>
      </c>
      <c r="E183">
        <v>2.2838333333333298</v>
      </c>
      <c r="F183">
        <v>2.4128333333333298</v>
      </c>
      <c r="G183" s="2">
        <v>76.5</v>
      </c>
      <c r="H183" s="3">
        <v>134.73333333333301</v>
      </c>
      <c r="I183" s="1">
        <v>5.17</v>
      </c>
    </row>
    <row r="184" spans="1:9" x14ac:dyDescent="0.2">
      <c r="A184">
        <v>3</v>
      </c>
      <c r="B184">
        <v>4</v>
      </c>
      <c r="C184">
        <v>15</v>
      </c>
      <c r="D184">
        <v>4</v>
      </c>
      <c r="E184">
        <v>1.7833333333333301</v>
      </c>
      <c r="F184">
        <v>1.861</v>
      </c>
      <c r="G184" s="2">
        <v>58.3333333333333</v>
      </c>
      <c r="H184" s="3">
        <v>120.45</v>
      </c>
      <c r="I184" s="1">
        <v>2.72</v>
      </c>
    </row>
    <row r="185" spans="1:9" x14ac:dyDescent="0.2">
      <c r="A185">
        <v>4</v>
      </c>
      <c r="B185">
        <v>4</v>
      </c>
      <c r="C185">
        <v>15</v>
      </c>
      <c r="D185">
        <v>4</v>
      </c>
      <c r="E185">
        <v>1.80216666666667</v>
      </c>
      <c r="F185">
        <v>1.7878333333333301</v>
      </c>
      <c r="G185" s="2">
        <v>56.5</v>
      </c>
      <c r="H185" s="3">
        <v>111.3</v>
      </c>
      <c r="I185" s="1">
        <v>3.36</v>
      </c>
    </row>
    <row r="186" spans="1:9" x14ac:dyDescent="0.2">
      <c r="A186">
        <v>5</v>
      </c>
      <c r="B186">
        <v>4</v>
      </c>
      <c r="C186">
        <v>15</v>
      </c>
      <c r="D186">
        <v>4</v>
      </c>
      <c r="E186">
        <v>2.9808333333333299</v>
      </c>
      <c r="F186">
        <v>3.1739999999999999</v>
      </c>
      <c r="G186" s="2">
        <v>145.5</v>
      </c>
      <c r="H186" s="3">
        <v>181.05</v>
      </c>
      <c r="I186" s="1" t="s">
        <v>15</v>
      </c>
    </row>
    <row r="187" spans="1:9" x14ac:dyDescent="0.2">
      <c r="A187">
        <v>6</v>
      </c>
      <c r="B187">
        <v>4</v>
      </c>
      <c r="C187">
        <v>15</v>
      </c>
      <c r="D187">
        <v>4</v>
      </c>
      <c r="E187">
        <v>2.9886666666666701</v>
      </c>
      <c r="F187" t="s">
        <v>15</v>
      </c>
      <c r="G187" s="2">
        <v>113.166666666667</v>
      </c>
      <c r="H187" s="3">
        <v>133.5</v>
      </c>
      <c r="I187" s="1">
        <v>3.91</v>
      </c>
    </row>
    <row r="188" spans="1:9" x14ac:dyDescent="0.2">
      <c r="A188">
        <v>7</v>
      </c>
      <c r="B188">
        <v>4</v>
      </c>
      <c r="C188">
        <v>15</v>
      </c>
      <c r="D188">
        <v>4</v>
      </c>
      <c r="E188">
        <v>1.7493333333333301</v>
      </c>
      <c r="F188">
        <v>1.6923333333333301</v>
      </c>
      <c r="G188" s="2">
        <v>69</v>
      </c>
      <c r="H188" s="3">
        <v>103.433333333333</v>
      </c>
      <c r="I188" s="1">
        <v>4.88</v>
      </c>
    </row>
    <row r="189" spans="1:9" x14ac:dyDescent="0.2">
      <c r="A189">
        <v>8</v>
      </c>
      <c r="B189">
        <v>4</v>
      </c>
      <c r="C189">
        <v>15</v>
      </c>
      <c r="D189">
        <v>4</v>
      </c>
      <c r="E189">
        <v>2.4578333333333298</v>
      </c>
      <c r="F189">
        <v>2.6156666666666704</v>
      </c>
      <c r="G189" s="2">
        <v>90.6666666666667</v>
      </c>
      <c r="H189" s="3">
        <v>146.80000000000001</v>
      </c>
      <c r="I189" s="1">
        <v>6.72</v>
      </c>
    </row>
    <row r="190" spans="1:9" x14ac:dyDescent="0.2">
      <c r="A190">
        <v>9</v>
      </c>
      <c r="B190">
        <v>4</v>
      </c>
      <c r="C190">
        <v>15</v>
      </c>
      <c r="D190">
        <v>4</v>
      </c>
      <c r="E190">
        <v>1.71533333333333</v>
      </c>
      <c r="F190">
        <v>1.7513333333333301</v>
      </c>
      <c r="G190" s="2">
        <v>50.6666666666667</v>
      </c>
      <c r="H190" s="3">
        <v>119.45</v>
      </c>
      <c r="I190" s="1">
        <v>3.54</v>
      </c>
    </row>
    <row r="191" spans="1:9" x14ac:dyDescent="0.2">
      <c r="A191">
        <v>10</v>
      </c>
      <c r="B191">
        <v>4</v>
      </c>
      <c r="C191">
        <v>15</v>
      </c>
      <c r="D191">
        <v>4</v>
      </c>
      <c r="E191">
        <v>2.3146666666666702</v>
      </c>
      <c r="F191">
        <v>2.3296666666666703</v>
      </c>
      <c r="G191" s="2">
        <v>77.3333333333333</v>
      </c>
      <c r="H191" s="3">
        <v>149.11666666666699</v>
      </c>
      <c r="I191" s="1">
        <v>5.07</v>
      </c>
    </row>
    <row r="192" spans="1:9" x14ac:dyDescent="0.2">
      <c r="A192">
        <v>11</v>
      </c>
      <c r="B192">
        <v>4</v>
      </c>
      <c r="C192">
        <v>15</v>
      </c>
      <c r="D192">
        <v>4</v>
      </c>
      <c r="E192">
        <v>1.8318333333333301</v>
      </c>
      <c r="F192">
        <v>2.09433333333333</v>
      </c>
      <c r="G192" s="2">
        <v>75.8333333333333</v>
      </c>
      <c r="H192" s="3">
        <v>113.066666666667</v>
      </c>
      <c r="I192" s="1">
        <v>5.96</v>
      </c>
    </row>
    <row r="193" spans="1:9" x14ac:dyDescent="0.2">
      <c r="A193">
        <v>12</v>
      </c>
      <c r="B193">
        <v>4</v>
      </c>
      <c r="C193">
        <v>15</v>
      </c>
      <c r="D193">
        <v>4</v>
      </c>
      <c r="E193">
        <v>1.6279999999999999</v>
      </c>
      <c r="F193">
        <v>1.7991666666666699</v>
      </c>
      <c r="G193" s="2">
        <v>64.3333333333333</v>
      </c>
      <c r="H193" s="3">
        <v>128.61666666666699</v>
      </c>
      <c r="I193" s="1">
        <v>4.99</v>
      </c>
    </row>
  </sheetData>
  <sortState xmlns:xlrd2="http://schemas.microsoft.com/office/spreadsheetml/2017/richdata2" ref="A2:I193">
    <sortCondition ref="B1"/>
  </sortState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94101-2896-4D99-B90B-0D64EB697E89}">
  <dimension ref="A1:M25"/>
  <sheetViews>
    <sheetView workbookViewId="0">
      <selection activeCell="E27" sqref="E27"/>
    </sheetView>
  </sheetViews>
  <sheetFormatPr baseColWidth="10" defaultColWidth="11.5" defaultRowHeight="15" x14ac:dyDescent="0.2"/>
  <sheetData>
    <row r="1" spans="1:13" x14ac:dyDescent="0.2">
      <c r="B1" t="s">
        <v>12</v>
      </c>
      <c r="C1" t="s">
        <v>11</v>
      </c>
      <c r="D1" t="s">
        <v>10</v>
      </c>
    </row>
    <row r="2" spans="1:13" x14ac:dyDescent="0.2">
      <c r="A2">
        <v>1</v>
      </c>
      <c r="B2" s="4">
        <v>31</v>
      </c>
      <c r="C2" s="5">
        <v>176</v>
      </c>
      <c r="D2" s="5">
        <v>75.5</v>
      </c>
      <c r="E2" s="4"/>
      <c r="F2" s="4"/>
      <c r="G2" s="4"/>
      <c r="H2" s="4"/>
      <c r="I2" s="4"/>
      <c r="J2" s="4"/>
      <c r="K2" s="4"/>
      <c r="L2" s="4"/>
      <c r="M2" s="4"/>
    </row>
    <row r="3" spans="1:13" x14ac:dyDescent="0.2">
      <c r="A3">
        <v>2</v>
      </c>
      <c r="B3" s="4">
        <v>29</v>
      </c>
      <c r="C3" s="5">
        <v>187</v>
      </c>
      <c r="D3" s="6">
        <v>96</v>
      </c>
      <c r="E3" s="4"/>
      <c r="F3" s="4"/>
      <c r="G3" s="4"/>
      <c r="H3" s="4"/>
      <c r="I3" s="4"/>
      <c r="J3" s="4"/>
      <c r="K3" s="4"/>
      <c r="L3" s="4"/>
      <c r="M3" s="4"/>
    </row>
    <row r="4" spans="1:13" x14ac:dyDescent="0.2">
      <c r="A4">
        <v>3</v>
      </c>
      <c r="B4" s="4">
        <v>26</v>
      </c>
      <c r="C4" s="5">
        <v>185</v>
      </c>
      <c r="D4" s="5">
        <v>67.400000000000006</v>
      </c>
      <c r="E4" s="4"/>
      <c r="F4" s="4"/>
      <c r="G4" s="4"/>
      <c r="H4" s="4"/>
      <c r="I4" s="4"/>
      <c r="J4" s="4"/>
      <c r="K4" s="4"/>
      <c r="L4" s="4"/>
      <c r="M4" s="4"/>
    </row>
    <row r="5" spans="1:13" x14ac:dyDescent="0.2">
      <c r="A5">
        <v>4</v>
      </c>
      <c r="B5" s="4">
        <v>29</v>
      </c>
      <c r="C5" s="5">
        <v>190</v>
      </c>
      <c r="D5" s="6">
        <v>97</v>
      </c>
      <c r="F5" s="4"/>
      <c r="G5" s="4"/>
      <c r="H5" s="4"/>
    </row>
    <row r="6" spans="1:13" x14ac:dyDescent="0.2">
      <c r="A6">
        <v>5</v>
      </c>
      <c r="B6" s="4">
        <v>26</v>
      </c>
      <c r="C6" s="5">
        <v>186</v>
      </c>
      <c r="D6" s="5">
        <v>77.099999999999994</v>
      </c>
      <c r="F6" s="4"/>
      <c r="G6" s="4"/>
      <c r="H6" s="4"/>
    </row>
    <row r="7" spans="1:13" x14ac:dyDescent="0.2">
      <c r="A7">
        <v>6</v>
      </c>
      <c r="B7" s="4">
        <v>26</v>
      </c>
      <c r="C7" s="5">
        <v>187</v>
      </c>
      <c r="D7" s="6">
        <v>103</v>
      </c>
      <c r="F7" s="4"/>
      <c r="G7" s="4"/>
      <c r="H7" s="4"/>
    </row>
    <row r="8" spans="1:13" x14ac:dyDescent="0.2">
      <c r="A8">
        <v>7</v>
      </c>
      <c r="B8" s="4">
        <v>27</v>
      </c>
      <c r="C8" s="5">
        <v>182</v>
      </c>
      <c r="D8" s="5">
        <v>95.1</v>
      </c>
      <c r="F8" s="4"/>
      <c r="G8" s="4"/>
      <c r="H8" s="4"/>
    </row>
    <row r="9" spans="1:13" x14ac:dyDescent="0.2">
      <c r="A9">
        <v>8</v>
      </c>
      <c r="B9" s="4">
        <v>34</v>
      </c>
      <c r="C9" s="5">
        <v>186.5</v>
      </c>
      <c r="D9" s="5">
        <v>83.6</v>
      </c>
      <c r="F9" s="4"/>
      <c r="G9" s="4"/>
      <c r="H9" s="4"/>
      <c r="M9" t="s">
        <v>9</v>
      </c>
    </row>
    <row r="10" spans="1:13" x14ac:dyDescent="0.2">
      <c r="A10">
        <v>9</v>
      </c>
      <c r="B10" s="4">
        <v>29</v>
      </c>
      <c r="C10" s="5">
        <v>172.5</v>
      </c>
      <c r="D10" s="5">
        <v>73.5</v>
      </c>
      <c r="F10" s="4"/>
      <c r="G10" s="4"/>
      <c r="H10" s="4"/>
    </row>
    <row r="11" spans="1:13" x14ac:dyDescent="0.2">
      <c r="A11">
        <v>10</v>
      </c>
      <c r="B11" s="4">
        <v>28</v>
      </c>
      <c r="C11" s="5">
        <v>178</v>
      </c>
      <c r="D11" s="5">
        <v>92.8</v>
      </c>
      <c r="F11" s="4"/>
      <c r="G11" s="4"/>
      <c r="H11" s="4"/>
    </row>
    <row r="12" spans="1:13" x14ac:dyDescent="0.2">
      <c r="A12">
        <v>11</v>
      </c>
      <c r="B12" s="4">
        <v>26</v>
      </c>
      <c r="C12" s="5">
        <v>185</v>
      </c>
      <c r="D12" s="5">
        <v>84.1</v>
      </c>
      <c r="F12" s="4"/>
      <c r="G12" s="4"/>
      <c r="H12" s="4"/>
    </row>
    <row r="13" spans="1:13" x14ac:dyDescent="0.2">
      <c r="A13">
        <v>12</v>
      </c>
      <c r="B13" s="4">
        <v>25</v>
      </c>
      <c r="C13" s="5">
        <v>180</v>
      </c>
      <c r="D13" s="5">
        <v>70.900000000000006</v>
      </c>
      <c r="F13" s="4"/>
      <c r="G13" s="4"/>
      <c r="H13" s="4"/>
    </row>
    <row r="14" spans="1:13" x14ac:dyDescent="0.2">
      <c r="A14">
        <v>13</v>
      </c>
      <c r="B14" s="4">
        <v>36</v>
      </c>
      <c r="C14" s="5">
        <v>186</v>
      </c>
      <c r="D14" s="5">
        <v>72.3</v>
      </c>
      <c r="F14" s="4"/>
      <c r="G14" s="4"/>
      <c r="H14" s="4"/>
    </row>
    <row r="15" spans="1:13" x14ac:dyDescent="0.2">
      <c r="A15" s="7" t="s">
        <v>13</v>
      </c>
      <c r="B15" s="8">
        <f>AVERAGE(B2:B14)</f>
        <v>28.615384615384617</v>
      </c>
      <c r="C15" s="8">
        <f t="shared" ref="C15:D15" si="0">AVERAGE(C2:C14)</f>
        <v>183.15384615384616</v>
      </c>
      <c r="D15" s="9">
        <f t="shared" si="0"/>
        <v>83.715384615384608</v>
      </c>
      <c r="F15" s="4"/>
      <c r="G15" s="4"/>
      <c r="H15" s="4"/>
    </row>
    <row r="16" spans="1:13" x14ac:dyDescent="0.2">
      <c r="A16" s="7" t="s">
        <v>14</v>
      </c>
      <c r="B16" s="8">
        <f>_xlfn.STDEV.S(B2:B14)</f>
        <v>3.3301266627177482</v>
      </c>
      <c r="C16" s="8">
        <f t="shared" ref="C16:D16" si="1">_xlfn.STDEV.S(C2:C14)</f>
        <v>5.1087531721897639</v>
      </c>
      <c r="D16" s="9">
        <f t="shared" si="1"/>
        <v>11.860076317478272</v>
      </c>
      <c r="F16" s="3"/>
      <c r="G16" s="3"/>
      <c r="H16" s="3"/>
    </row>
    <row r="17" spans="6:11" x14ac:dyDescent="0.2">
      <c r="F17" s="3"/>
      <c r="G17" s="3"/>
      <c r="H17" s="3"/>
    </row>
    <row r="22" spans="6:11" x14ac:dyDescent="0.2">
      <c r="F22" t="s">
        <v>9</v>
      </c>
    </row>
    <row r="25" spans="6:11" x14ac:dyDescent="0.2">
      <c r="K25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D91B439A396040B8648AFFC57B02F6" ma:contentTypeVersion="13" ma:contentTypeDescription="Create a new document." ma:contentTypeScope="" ma:versionID="e8f5b0dd05b1334d1eb26a0979b4ef92">
  <xsd:schema xmlns:xsd="http://www.w3.org/2001/XMLSchema" xmlns:xs="http://www.w3.org/2001/XMLSchema" xmlns:p="http://schemas.microsoft.com/office/2006/metadata/properties" xmlns:ns3="faae45cf-48e7-4a71-ac6c-243c91949c8b" xmlns:ns4="dee91e62-007e-457c-80fc-4ce749a92db2" targetNamespace="http://schemas.microsoft.com/office/2006/metadata/properties" ma:root="true" ma:fieldsID="95dcbb2008663344e0a17060cfd052a7" ns3:_="" ns4:_="">
    <xsd:import namespace="faae45cf-48e7-4a71-ac6c-243c91949c8b"/>
    <xsd:import namespace="dee91e62-007e-457c-80fc-4ce749a92db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ae45cf-48e7-4a71-ac6c-243c91949c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e91e62-007e-457c-80fc-4ce749a92db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ED9EB7-DAD2-4F95-BB43-D7CD608A27C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37CE2BF-9154-46DC-B083-578F919B1FF2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dee91e62-007e-457c-80fc-4ce749a92db2"/>
    <ds:schemaRef ds:uri="http://purl.org/dc/terms/"/>
    <ds:schemaRef ds:uri="faae45cf-48e7-4a71-ac6c-243c91949c8b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72254835-4B01-494C-AD46-EDCBDF6260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ae45cf-48e7-4a71-ac6c-243c91949c8b"/>
    <ds:schemaRef ds:uri="dee91e62-007e-457c-80fc-4ce749a92d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Data_long</vt:lpstr>
      <vt:lpstr>Participant characteristics</vt:lpstr>
    </vt:vector>
  </TitlesOfParts>
  <Company>NTNU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Kathrin Baumgart</dc:creator>
  <cp:lastModifiedBy>Degenfellner Juergen</cp:lastModifiedBy>
  <dcterms:created xsi:type="dcterms:W3CDTF">2019-02-27T17:29:34Z</dcterms:created>
  <dcterms:modified xsi:type="dcterms:W3CDTF">2025-05-19T05:40:12Z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0x01010085D91B439A396040B8648AFFC57B02F6</vt:lpwstr>
  </property>
</Properties>
</file>